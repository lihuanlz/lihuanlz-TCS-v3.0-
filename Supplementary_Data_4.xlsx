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Training" sheetId="1" state="visible" r:id="rId1"/>
    <sheet xmlns:r="http://schemas.openxmlformats.org/officeDocument/2006/relationships" name="2_Raw_Test" sheetId="2" state="visible" r:id="rId2"/>
    <sheet xmlns:r="http://schemas.openxmlformats.org/officeDocument/2006/relationships" name="3_Training_Predictions" sheetId="3" state="visible" r:id="rId3"/>
    <sheet xmlns:r="http://schemas.openxmlformats.org/officeDocument/2006/relationships" name="4_Fit_Parameters" sheetId="4" state="visible" r:id="rId4"/>
    <sheet xmlns:r="http://schemas.openxmlformats.org/officeDocument/2006/relationships" name="5_Bootstrap_CI" sheetId="5" state="visible" r:id="rId5"/>
    <sheet xmlns:r="http://schemas.openxmlformats.org/officeDocument/2006/relationships" name="6_Model_Comparison" sheetId="6" state="visible" r:id="rId6"/>
    <sheet xmlns:r="http://schemas.openxmlformats.org/officeDocument/2006/relationships" name="7_LOO_Stats" sheetId="7" state="visible" r:id="rId7"/>
    <sheet xmlns:r="http://schemas.openxmlformats.org/officeDocument/2006/relationships" name="8_Clinical_Reference" sheetId="8" state="visible" r:id="rId8"/>
    <sheet xmlns:r="http://schemas.openxmlformats.org/officeDocument/2006/relationships" name="9_TCS_PerPoint" sheetId="9" state="visible" r:id="rId9"/>
    <sheet xmlns:r="http://schemas.openxmlformats.org/officeDocument/2006/relationships" name="10_TCS_TestSet" sheetId="10" state="visible" r:id="rId10"/>
    <sheet xmlns:r="http://schemas.openxmlformats.org/officeDocument/2006/relationships" name="11_R3_Analysis" sheetId="11" state="visible" r:id="rId11"/>
    <sheet xmlns:r="http://schemas.openxmlformats.org/officeDocument/2006/relationships" name="12_LoB_LoD_LoQ" sheetId="12" state="visible" r:id="rId12"/>
    <sheet xmlns:r="http://schemas.openxmlformats.org/officeDocument/2006/relationships" name="13_LOO_PerFold" sheetId="13" state="visible" r:id="rId13"/>
    <sheet xmlns:r="http://schemas.openxmlformats.org/officeDocument/2006/relationships" name="14_Reference_CV" sheetId="14" state="visible" r:id="rId14"/>
    <sheet xmlns:r="http://schemas.openxmlformats.org/officeDocument/2006/relationships" name="15_TestSet_BackCalc" sheetId="15" state="visible" r:id="rId15"/>
    <sheet xmlns:r="http://schemas.openxmlformats.org/officeDocument/2006/relationships" name="16_Train_RealConc" sheetId="16" state="visible" r:id="rId16"/>
    <sheet xmlns:r="http://schemas.openxmlformats.org/officeDocument/2006/relationships" name="17_LoB_LoD_LoQ_Dist" sheetId="17" state="visible" r:id="rId17"/>
    <sheet xmlns:r="http://schemas.openxmlformats.org/officeDocument/2006/relationships" name="18_R1_Mode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n_obs (beads)</t>
        </is>
      </c>
      <c r="C1" s="1" t="inlineStr">
        <is>
          <t>AEB_raw</t>
        </is>
      </c>
      <c r="D1" s="1" t="inlineStr">
        <is>
          <t>k_train (positive beads)</t>
        </is>
      </c>
      <c r="E1" s="1" t="inlineStr">
        <is>
          <t>P_train</t>
        </is>
      </c>
      <c r="F1" s="1" t="inlineStr">
        <is>
          <t>mu_train (TCS)</t>
        </is>
      </c>
      <c r="G1" s="1" t="inlineStr">
        <is>
          <t>mu_train_4pl</t>
        </is>
      </c>
    </row>
    <row r="2">
      <c r="A2" t="n">
        <v>0</v>
      </c>
      <c r="B2" t="n">
        <v>29568</v>
      </c>
      <c r="C2" t="n">
        <v>0.0029</v>
      </c>
      <c r="D2" t="n">
        <v>85.62298666190682</v>
      </c>
      <c r="E2" t="n">
        <v>0.002895799061888082</v>
      </c>
      <c r="F2" t="n">
        <v>0</v>
      </c>
      <c r="G2" t="n">
        <v>0</v>
      </c>
    </row>
    <row r="3">
      <c r="A3" t="n">
        <v>0</v>
      </c>
      <c r="B3" t="n">
        <v>33529</v>
      </c>
      <c r="C3" t="n">
        <v>0.0037</v>
      </c>
      <c r="D3" t="n">
        <v>123.8280767907716</v>
      </c>
      <c r="E3" t="n">
        <v>0.003693163434363433</v>
      </c>
      <c r="F3" t="n">
        <v>0</v>
      </c>
      <c r="G3" t="n">
        <v>0</v>
      </c>
    </row>
    <row r="4">
      <c r="A4" t="n">
        <v>0.0328</v>
      </c>
      <c r="B4" t="n">
        <v>31110</v>
      </c>
      <c r="C4" t="n">
        <v>0.0255</v>
      </c>
      <c r="D4" t="n">
        <v>783.2757903757947</v>
      </c>
      <c r="E4" t="n">
        <v>0.02517762103425891</v>
      </c>
      <c r="F4" t="n">
        <v>0.1899246153846154</v>
      </c>
      <c r="G4" t="n">
        <v>0.1519396923076923</v>
      </c>
    </row>
    <row r="5">
      <c r="A5" t="n">
        <v>0.0328</v>
      </c>
      <c r="B5" t="n">
        <v>30257</v>
      </c>
      <c r="C5" t="n">
        <v>0.0268</v>
      </c>
      <c r="D5" t="n">
        <v>800.1181279220885</v>
      </c>
      <c r="E5" t="n">
        <v>0.02644406675883559</v>
      </c>
      <c r="F5" t="n">
        <v>0.1899246153846154</v>
      </c>
      <c r="G5" t="n">
        <v>0.1519396923076923</v>
      </c>
    </row>
    <row r="6">
      <c r="A6" t="n">
        <v>0.0984</v>
      </c>
      <c r="B6" t="n">
        <v>27297</v>
      </c>
      <c r="C6" t="n">
        <v>0.0655</v>
      </c>
      <c r="D6" t="n">
        <v>1730.655820602437</v>
      </c>
      <c r="E6" t="n">
        <v>0.06340095324037209</v>
      </c>
      <c r="F6" t="n">
        <v>0.5697738461538463</v>
      </c>
      <c r="G6" t="n">
        <v>0.4558190769230769</v>
      </c>
    </row>
    <row r="7">
      <c r="A7" t="n">
        <v>0.0984</v>
      </c>
      <c r="B7" t="n">
        <v>33491</v>
      </c>
      <c r="C7" t="n">
        <v>0.0687</v>
      </c>
      <c r="D7" t="n">
        <v>2223.577337595543</v>
      </c>
      <c r="E7" t="n">
        <v>0.06639327991387367</v>
      </c>
      <c r="F7" t="n">
        <v>0.5697738461538463</v>
      </c>
      <c r="G7" t="n">
        <v>0.4558190769230769</v>
      </c>
    </row>
    <row r="8">
      <c r="A8" t="n">
        <v>0.296</v>
      </c>
      <c r="B8" t="n">
        <v>23171</v>
      </c>
      <c r="C8" t="n">
        <v>0.1807</v>
      </c>
      <c r="D8" t="n">
        <v>3830.497023002369</v>
      </c>
      <c r="E8" t="n">
        <v>0.1653142731432553</v>
      </c>
      <c r="F8" t="n">
        <v>1.713953846153846</v>
      </c>
      <c r="G8" t="n">
        <v>1.371163076923077</v>
      </c>
    </row>
    <row r="9">
      <c r="A9" t="n">
        <v>0.296</v>
      </c>
      <c r="B9" t="n">
        <v>35706</v>
      </c>
      <c r="C9" t="n">
        <v>0.197</v>
      </c>
      <c r="D9" t="n">
        <v>6384.567246938235</v>
      </c>
      <c r="E9" t="n">
        <v>0.178809366687342</v>
      </c>
      <c r="F9" t="n">
        <v>1.713953846153846</v>
      </c>
      <c r="G9" t="n">
        <v>1.371163076923077</v>
      </c>
    </row>
    <row r="10">
      <c r="A10" t="n">
        <v>0.888</v>
      </c>
      <c r="B10" t="n">
        <v>31713</v>
      </c>
      <c r="C10" t="n">
        <v>0.5426</v>
      </c>
      <c r="D10" t="n">
        <v>13280.292069666</v>
      </c>
      <c r="E10" t="n">
        <v>0.4187649250990445</v>
      </c>
      <c r="F10" t="n">
        <v>5.141861538461539</v>
      </c>
      <c r="G10" t="n">
        <v>4.113489230769231</v>
      </c>
    </row>
    <row r="11">
      <c r="A11" t="n">
        <v>0.888</v>
      </c>
      <c r="B11" t="n">
        <v>30509</v>
      </c>
      <c r="C11" t="n">
        <v>0.5826</v>
      </c>
      <c r="D11" t="n">
        <v>13471.41608959803</v>
      </c>
      <c r="E11" t="n">
        <v>0.4415554783702524</v>
      </c>
      <c r="F11" t="n">
        <v>5.141861538461539</v>
      </c>
      <c r="G11" t="n">
        <v>4.113489230769231</v>
      </c>
    </row>
    <row r="12">
      <c r="A12" t="n">
        <v>2.664</v>
      </c>
      <c r="B12" t="n">
        <v>31098</v>
      </c>
      <c r="C12" t="n">
        <v>1.6441</v>
      </c>
      <c r="D12" t="n">
        <v>25090.29081636677</v>
      </c>
      <c r="E12" t="n">
        <v>0.8068136477061797</v>
      </c>
      <c r="F12" t="n">
        <v>15.42558461538462</v>
      </c>
      <c r="G12" t="n">
        <v>12.3404676923077</v>
      </c>
    </row>
    <row r="13">
      <c r="A13" t="n">
        <v>2.664</v>
      </c>
      <c r="B13" t="n">
        <v>30145</v>
      </c>
      <c r="C13" t="n">
        <v>1.7458</v>
      </c>
      <c r="D13" t="n">
        <v>24884.53686190315</v>
      </c>
      <c r="E13" t="n">
        <v>0.8254946711528661</v>
      </c>
      <c r="F13" t="n">
        <v>15.42558461538462</v>
      </c>
      <c r="G13" t="n">
        <v>12.3404676923077</v>
      </c>
    </row>
    <row r="14">
      <c r="A14" t="n">
        <v>8</v>
      </c>
      <c r="B14" t="n">
        <v>22988</v>
      </c>
      <c r="C14" t="n">
        <v>4.4611</v>
      </c>
      <c r="D14" t="n">
        <v>22722.49660716825</v>
      </c>
      <c r="E14" t="n">
        <v>0.9884503483194821</v>
      </c>
      <c r="F14" t="n">
        <v>46.32307692307693</v>
      </c>
      <c r="G14" t="n">
        <v>37.05846153846154</v>
      </c>
    </row>
    <row r="15">
      <c r="A15" t="n">
        <v>8</v>
      </c>
      <c r="B15" t="n">
        <v>22866</v>
      </c>
      <c r="C15" t="n">
        <v>4.8785</v>
      </c>
      <c r="D15" t="n">
        <v>22692.02591173604</v>
      </c>
      <c r="E15" t="n">
        <v>0.9923915819004653</v>
      </c>
      <c r="F15" t="n">
        <v>46.32307692307693</v>
      </c>
      <c r="G15" t="n">
        <v>37.05846153846154</v>
      </c>
    </row>
    <row r="16">
      <c r="A16" t="n">
        <v>24</v>
      </c>
      <c r="B16" t="n">
        <v>28320</v>
      </c>
      <c r="C16" t="n">
        <v>13.2759</v>
      </c>
      <c r="D16" t="n">
        <v>28319.95142160782</v>
      </c>
      <c r="E16" t="n">
        <v>0.9999982846612929</v>
      </c>
      <c r="F16" t="n">
        <v>138.9692307692308</v>
      </c>
      <c r="G16" t="n">
        <v>111.1753846153846</v>
      </c>
    </row>
    <row r="17">
      <c r="A17" t="n">
        <v>24</v>
      </c>
      <c r="B17" t="n">
        <v>28760</v>
      </c>
      <c r="C17" t="n">
        <v>12.3785</v>
      </c>
      <c r="D17" t="n">
        <v>28759.87897512647</v>
      </c>
      <c r="E17" t="n">
        <v>0.9999957919028676</v>
      </c>
      <c r="F17" t="n">
        <v>138.9692307692308</v>
      </c>
      <c r="G17" t="n">
        <v>111.1753846153846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sample #</t>
        </is>
      </c>
      <c r="B1" s="1" t="inlineStr">
        <is>
          <t>test_n (beads)</t>
        </is>
      </c>
      <c r="C1" s="1" t="inlineStr">
        <is>
          <t>test_AEB_raw</t>
        </is>
      </c>
      <c r="D1" s="1" t="inlineStr">
        <is>
          <t>test_k (positive beads)</t>
        </is>
      </c>
    </row>
    <row r="2">
      <c r="A2" t="n">
        <v>1</v>
      </c>
      <c r="B2" t="n">
        <v>29071</v>
      </c>
      <c r="C2" t="n">
        <v>0.236597484</v>
      </c>
      <c r="D2" t="n">
        <v>6124.999992497151</v>
      </c>
    </row>
    <row r="3">
      <c r="A3" t="n">
        <v>2</v>
      </c>
      <c r="B3" t="n">
        <v>33328</v>
      </c>
      <c r="C3" t="n">
        <v>0.272436422</v>
      </c>
      <c r="D3" t="n">
        <v>7947.999994102332</v>
      </c>
    </row>
    <row r="4">
      <c r="A4" t="n">
        <v>3</v>
      </c>
      <c r="B4" t="n">
        <v>28472</v>
      </c>
      <c r="C4" t="n">
        <v>2.617187507</v>
      </c>
      <c r="D4" t="n">
        <v>26393.31882693224</v>
      </c>
    </row>
    <row r="5">
      <c r="A5" t="n">
        <v>4</v>
      </c>
      <c r="B5" t="n">
        <v>28456</v>
      </c>
      <c r="C5" t="n">
        <v>2.564441215</v>
      </c>
      <c r="D5" t="n">
        <v>26265.96435566907</v>
      </c>
    </row>
    <row r="6">
      <c r="A6" t="n">
        <v>5</v>
      </c>
      <c r="B6" t="n">
        <v>20960</v>
      </c>
      <c r="C6" t="n">
        <v>0.058197346</v>
      </c>
      <c r="D6" t="n">
        <v>1185.000003972326</v>
      </c>
    </row>
    <row r="7">
      <c r="A7" t="n">
        <v>6</v>
      </c>
      <c r="B7" t="n">
        <v>24727</v>
      </c>
      <c r="C7" t="n">
        <v>0.058412891</v>
      </c>
      <c r="D7" t="n">
        <v>1403.000007810553</v>
      </c>
    </row>
    <row r="8">
      <c r="A8" t="n">
        <v>7</v>
      </c>
      <c r="B8" t="n">
        <v>25139</v>
      </c>
      <c r="C8" t="n">
        <v>0.351364389</v>
      </c>
      <c r="D8" t="n">
        <v>7447.999992267717</v>
      </c>
    </row>
    <row r="9">
      <c r="A9" t="n">
        <v>8</v>
      </c>
      <c r="B9" t="n">
        <v>27922</v>
      </c>
      <c r="C9" t="n">
        <v>0.369931768</v>
      </c>
      <c r="D9" t="n">
        <v>8634.000006025833</v>
      </c>
    </row>
    <row r="10">
      <c r="A10" t="n">
        <v>9</v>
      </c>
      <c r="B10" t="n">
        <v>22721</v>
      </c>
      <c r="C10" t="n">
        <v>0.102767165</v>
      </c>
      <c r="D10" t="n">
        <v>2219.000008043827</v>
      </c>
    </row>
    <row r="11">
      <c r="A11" t="n">
        <v>10</v>
      </c>
      <c r="B11" t="n">
        <v>22127</v>
      </c>
      <c r="C11" t="n">
        <v>0.106078851</v>
      </c>
      <c r="D11" t="n">
        <v>2227.00000878889</v>
      </c>
    </row>
    <row r="12">
      <c r="A12" t="n">
        <v>11</v>
      </c>
      <c r="B12" t="n">
        <v>24019</v>
      </c>
      <c r="C12" t="n">
        <v>0.12616563</v>
      </c>
      <c r="D12" t="n">
        <v>2847.000003893399</v>
      </c>
    </row>
    <row r="13">
      <c r="A13" t="n">
        <v>12</v>
      </c>
      <c r="B13" t="n">
        <v>20192</v>
      </c>
      <c r="C13" t="n">
        <v>0.125582539</v>
      </c>
      <c r="D13" t="n">
        <v>2383.00000240539</v>
      </c>
    </row>
    <row r="14">
      <c r="A14" t="n">
        <v>13</v>
      </c>
      <c r="B14" t="n">
        <v>22124</v>
      </c>
      <c r="C14" t="n">
        <v>0.337792942</v>
      </c>
      <c r="D14" t="n">
        <v>6341.999999469907</v>
      </c>
    </row>
    <row r="15">
      <c r="A15" t="n">
        <v>14</v>
      </c>
      <c r="B15" t="n">
        <v>21902</v>
      </c>
      <c r="C15" t="n">
        <v>0.3409751</v>
      </c>
      <c r="D15" t="n">
        <v>6328.000004691308</v>
      </c>
    </row>
    <row r="16">
      <c r="A16" t="n">
        <v>15</v>
      </c>
      <c r="B16" t="n">
        <v>25262</v>
      </c>
      <c r="C16" t="n">
        <v>0.093415847</v>
      </c>
      <c r="D16" t="n">
        <v>2253.000008872551</v>
      </c>
    </row>
    <row r="17">
      <c r="A17" t="n">
        <v>16</v>
      </c>
      <c r="B17" t="n">
        <v>27985</v>
      </c>
      <c r="C17" t="n">
        <v>0.0929902</v>
      </c>
      <c r="D17" t="n">
        <v>2484.999995436966</v>
      </c>
    </row>
    <row r="18">
      <c r="A18" t="n">
        <v>17</v>
      </c>
      <c r="B18" t="n">
        <v>26420</v>
      </c>
      <c r="C18" t="n">
        <v>2.396021602</v>
      </c>
      <c r="D18" t="n">
        <v>24013.677382995</v>
      </c>
    </row>
    <row r="19">
      <c r="A19" t="n">
        <v>18</v>
      </c>
      <c r="B19" t="n">
        <v>23602</v>
      </c>
      <c r="C19" t="n">
        <v>2.272783968</v>
      </c>
      <c r="D19" t="n">
        <v>21170.40484055425</v>
      </c>
    </row>
    <row r="20">
      <c r="A20" t="n">
        <v>19</v>
      </c>
      <c r="B20" t="n">
        <v>27587</v>
      </c>
      <c r="C20" t="n">
        <v>0.337335334</v>
      </c>
      <c r="D20" t="n">
        <v>7898.999996467478</v>
      </c>
    </row>
    <row r="21">
      <c r="A21" t="n">
        <v>20</v>
      </c>
      <c r="B21" t="n">
        <v>26023</v>
      </c>
      <c r="C21" t="n">
        <v>0.34978725</v>
      </c>
      <c r="D21" t="n">
        <v>7680.999995822556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  <c r="B26" t="n">
        <v>18699</v>
      </c>
      <c r="C26" t="n">
        <v>16.74621582</v>
      </c>
      <c r="D26" t="n">
        <v>18698.99900223272</v>
      </c>
    </row>
    <row r="27">
      <c r="A27" t="n">
        <v>26</v>
      </c>
      <c r="B27" t="n">
        <v>18713</v>
      </c>
      <c r="C27" t="n">
        <v>16.34499726</v>
      </c>
      <c r="D27" t="n">
        <v>18712.99850857541</v>
      </c>
    </row>
    <row r="28">
      <c r="A28" t="n">
        <v>27</v>
      </c>
      <c r="B28" t="n">
        <v>23020</v>
      </c>
      <c r="C28" t="n">
        <v>0.417373262</v>
      </c>
      <c r="D28" t="n">
        <v>7854.999997676841</v>
      </c>
    </row>
    <row r="29">
      <c r="A29" t="n">
        <v>28</v>
      </c>
      <c r="B29" t="n">
        <v>24709</v>
      </c>
      <c r="C29" t="n">
        <v>0.421415841</v>
      </c>
      <c r="D29" t="n">
        <v>8497.00000048672</v>
      </c>
    </row>
    <row r="30">
      <c r="A30" t="n">
        <v>29</v>
      </c>
      <c r="B30" t="n">
        <v>16844</v>
      </c>
      <c r="C30" t="n">
        <v>18.35593752</v>
      </c>
      <c r="D30" t="n">
        <v>16843.99982029388</v>
      </c>
    </row>
    <row r="31">
      <c r="A31" t="n">
        <v>30</v>
      </c>
      <c r="B31" t="n">
        <v>16167</v>
      </c>
      <c r="C31" t="n">
        <v>18.77629449</v>
      </c>
      <c r="D31" t="n">
        <v>16166.99988671084</v>
      </c>
    </row>
    <row r="32">
      <c r="A32" t="n">
        <v>31</v>
      </c>
      <c r="B32" t="n">
        <v>20085</v>
      </c>
      <c r="C32" t="n">
        <v>3.45460218</v>
      </c>
      <c r="D32" t="n">
        <v>19450.3165524549</v>
      </c>
    </row>
    <row r="33">
      <c r="A33" t="n">
        <v>32</v>
      </c>
      <c r="B33" t="n">
        <v>20342</v>
      </c>
      <c r="C33" t="n">
        <v>3.573356906</v>
      </c>
      <c r="D33" t="n">
        <v>19771.17305670062</v>
      </c>
    </row>
    <row r="34">
      <c r="A34" t="n">
        <v>33</v>
      </c>
      <c r="B34" t="n">
        <v>19173</v>
      </c>
      <c r="C34" t="n">
        <v>5.847272209</v>
      </c>
      <c r="D34" t="n">
        <v>19117.63286928302</v>
      </c>
    </row>
    <row r="35">
      <c r="A35" t="n">
        <v>34</v>
      </c>
      <c r="B35" t="n">
        <v>19937</v>
      </c>
      <c r="C35" t="n">
        <v>6.320004324</v>
      </c>
      <c r="D35" t="n">
        <v>19901.11468148473</v>
      </c>
    </row>
    <row r="36">
      <c r="A36" t="n">
        <v>35</v>
      </c>
      <c r="B36" t="n">
        <v>23344</v>
      </c>
      <c r="C36" t="n">
        <v>9.982967721</v>
      </c>
      <c r="D36" t="n">
        <v>23342.92197835648</v>
      </c>
    </row>
    <row r="37">
      <c r="A37" t="n">
        <v>36</v>
      </c>
      <c r="B37" t="n">
        <v>24012</v>
      </c>
      <c r="C37" t="n">
        <v>9.973993837</v>
      </c>
      <c r="D37" t="n">
        <v>24010.88113458742</v>
      </c>
    </row>
    <row r="38">
      <c r="A38" t="n">
        <v>37</v>
      </c>
      <c r="B38" t="n">
        <v>17073</v>
      </c>
      <c r="C38" t="n">
        <v>6.953268592</v>
      </c>
      <c r="D38" t="n">
        <v>17056.68663100691</v>
      </c>
    </row>
    <row r="39">
      <c r="A39" t="n">
        <v>38</v>
      </c>
      <c r="B39" t="n">
        <v>17136</v>
      </c>
      <c r="C39" t="n">
        <v>6.83977912</v>
      </c>
      <c r="D39" t="n">
        <v>17117.6586573554</v>
      </c>
    </row>
    <row r="40">
      <c r="A40" t="n">
        <v>39</v>
      </c>
      <c r="B40" t="n">
        <v>24776</v>
      </c>
      <c r="C40" t="n">
        <v>2.009870497</v>
      </c>
      <c r="D40" t="n">
        <v>21455.86665701719</v>
      </c>
    </row>
    <row r="41">
      <c r="A41" t="n">
        <v>40</v>
      </c>
      <c r="B41" t="n">
        <v>21719</v>
      </c>
      <c r="C41" t="n">
        <v>2.27284029</v>
      </c>
      <c r="D41" t="n">
        <v>19481.52686701529</v>
      </c>
    </row>
    <row r="42">
      <c r="A42" t="n">
        <v>41</v>
      </c>
      <c r="B42" t="n">
        <v>24918</v>
      </c>
      <c r="C42" t="n">
        <v>11.47061125</v>
      </c>
      <c r="D42" t="n">
        <v>24917.7400498864</v>
      </c>
    </row>
    <row r="43">
      <c r="A43" t="n">
        <v>42</v>
      </c>
      <c r="B43" t="n">
        <v>24142</v>
      </c>
      <c r="C43" t="n">
        <v>11.67209064</v>
      </c>
      <c r="D43" t="n">
        <v>24141.79410363076</v>
      </c>
    </row>
    <row r="44">
      <c r="A44" t="n">
        <v>43</v>
      </c>
      <c r="B44" t="n">
        <v>24784</v>
      </c>
      <c r="C44" t="n">
        <v>3.912569618</v>
      </c>
      <c r="D44" t="n">
        <v>24288.59087088216</v>
      </c>
    </row>
    <row r="45">
      <c r="A45" t="n">
        <v>44</v>
      </c>
      <c r="B45" t="n">
        <v>22893</v>
      </c>
      <c r="C45" t="n">
        <v>4.225046683</v>
      </c>
      <c r="D45" t="n">
        <v>22558.19784242721</v>
      </c>
    </row>
    <row r="46">
      <c r="A46" t="n">
        <v>45</v>
      </c>
      <c r="B46" t="n">
        <v>23404</v>
      </c>
      <c r="C46" t="n">
        <v>8.439671494000001</v>
      </c>
      <c r="D46" t="n">
        <v>23398.94190093982</v>
      </c>
    </row>
    <row r="47">
      <c r="A47" t="n">
        <v>46</v>
      </c>
      <c r="B47" t="n">
        <v>26483</v>
      </c>
      <c r="C47" t="n">
        <v>9.340527238</v>
      </c>
      <c r="D47" t="n">
        <v>26480.67497437918</v>
      </c>
    </row>
    <row r="48">
      <c r="A48" t="n">
        <v>47</v>
      </c>
      <c r="B48" t="n">
        <v>23871</v>
      </c>
      <c r="C48" t="n">
        <v>7.74906697</v>
      </c>
      <c r="D48" t="n">
        <v>23860.70814668439</v>
      </c>
    </row>
    <row r="49">
      <c r="A49" t="n">
        <v>48</v>
      </c>
      <c r="B49" t="n">
        <v>16792</v>
      </c>
      <c r="C49" t="n">
        <v>7.796352148</v>
      </c>
      <c r="D49" t="n">
        <v>16785.09458619416</v>
      </c>
    </row>
    <row r="50">
      <c r="A50" t="n">
        <v>49</v>
      </c>
      <c r="B50" t="n">
        <v>24276</v>
      </c>
      <c r="C50" t="n">
        <v>0.729130431</v>
      </c>
      <c r="D50" t="n">
        <v>12566.99999874689</v>
      </c>
    </row>
    <row r="51">
      <c r="A51" t="n">
        <v>50</v>
      </c>
      <c r="B51" t="n">
        <v>31450</v>
      </c>
      <c r="C51" t="n">
        <v>0.7439552780000001</v>
      </c>
      <c r="D51" t="n">
        <v>16504.00000540521</v>
      </c>
    </row>
    <row r="52">
      <c r="A52" t="n">
        <v>51</v>
      </c>
      <c r="B52" t="n">
        <v>22859</v>
      </c>
      <c r="C52" t="n">
        <v>1.091767575</v>
      </c>
      <c r="D52" t="n">
        <v>15186.99999772315</v>
      </c>
    </row>
    <row r="53">
      <c r="A53" t="n">
        <v>52</v>
      </c>
      <c r="B53" t="n">
        <v>22096</v>
      </c>
      <c r="C53" t="n">
        <v>1.158959749</v>
      </c>
      <c r="D53" t="n">
        <v>15161.99999719794</v>
      </c>
    </row>
    <row r="54">
      <c r="A54" t="n">
        <v>53</v>
      </c>
      <c r="B54" t="n">
        <v>20070</v>
      </c>
      <c r="C54" t="n">
        <v>0.381027732</v>
      </c>
      <c r="D54" t="n">
        <v>6358.999994053142</v>
      </c>
    </row>
    <row r="55">
      <c r="A55" t="n">
        <v>54</v>
      </c>
      <c r="B55" t="n">
        <v>21347</v>
      </c>
      <c r="C55" t="n">
        <v>0.360355695</v>
      </c>
      <c r="D55" t="n">
        <v>6458.999996441578</v>
      </c>
    </row>
    <row r="56">
      <c r="A56" t="n">
        <v>55</v>
      </c>
      <c r="B56" t="n">
        <v>21735</v>
      </c>
      <c r="C56" t="n">
        <v>0.300477333</v>
      </c>
      <c r="D56" t="n">
        <v>5641.000004557591</v>
      </c>
    </row>
    <row r="57">
      <c r="A57" t="n">
        <v>56</v>
      </c>
      <c r="B57" t="n">
        <v>28879</v>
      </c>
      <c r="C57" t="n">
        <v>0.309396565</v>
      </c>
      <c r="D57" t="n">
        <v>7685.000007763258</v>
      </c>
    </row>
    <row r="58">
      <c r="A58" t="n">
        <v>57</v>
      </c>
      <c r="B58" t="n">
        <v>26687</v>
      </c>
      <c r="C58" t="n">
        <v>10.09009466</v>
      </c>
      <c r="D58" t="n">
        <v>26685.89279682394</v>
      </c>
    </row>
    <row r="59">
      <c r="A59" t="n">
        <v>58</v>
      </c>
      <c r="B59" t="n">
        <v>31241</v>
      </c>
      <c r="C59" t="n">
        <v>9.986039024</v>
      </c>
      <c r="D59" t="n">
        <v>31239.56172052575</v>
      </c>
    </row>
    <row r="60">
      <c r="A60" t="n">
        <v>59</v>
      </c>
      <c r="B60" t="n">
        <v>25211</v>
      </c>
      <c r="C60" t="n">
        <v>3.644694894</v>
      </c>
      <c r="D60" t="n">
        <v>24552.25217891836</v>
      </c>
    </row>
    <row r="61">
      <c r="A61" t="n">
        <v>60</v>
      </c>
      <c r="B61" t="n">
        <v>28192</v>
      </c>
      <c r="C61" t="n">
        <v>3.817914659</v>
      </c>
      <c r="D61" t="n">
        <v>27572.52095815645</v>
      </c>
    </row>
    <row r="62">
      <c r="A62" t="n">
        <v>61</v>
      </c>
      <c r="B62" t="n">
        <v>30914</v>
      </c>
      <c r="C62" t="n">
        <v>1.31251777</v>
      </c>
      <c r="D62" t="n">
        <v>22593.75762740663</v>
      </c>
    </row>
    <row r="63">
      <c r="A63" t="n">
        <v>62</v>
      </c>
      <c r="B63" t="n">
        <v>31997</v>
      </c>
      <c r="C63" t="n">
        <v>1.265727123</v>
      </c>
      <c r="D63" t="n">
        <v>22972.75336485113</v>
      </c>
    </row>
    <row r="64">
      <c r="A64" t="n">
        <v>63</v>
      </c>
      <c r="B64" t="n">
        <v>30768</v>
      </c>
      <c r="C64" t="n">
        <v>0.491130065</v>
      </c>
      <c r="D64" t="n">
        <v>11939.99999420986</v>
      </c>
    </row>
    <row r="65">
      <c r="A65" t="n">
        <v>64</v>
      </c>
      <c r="B65" t="n">
        <v>29375</v>
      </c>
      <c r="C65" t="n">
        <v>0.489938895</v>
      </c>
      <c r="D65" t="n">
        <v>11377.99999774574</v>
      </c>
    </row>
    <row r="66">
      <c r="A66" t="n">
        <v>65</v>
      </c>
      <c r="B66" t="n">
        <v>19332</v>
      </c>
      <c r="C66" t="n">
        <v>0.164663363</v>
      </c>
      <c r="D66" t="n">
        <v>2935.000004671402</v>
      </c>
    </row>
    <row r="67">
      <c r="A67" t="n">
        <v>66</v>
      </c>
      <c r="B67" t="n">
        <v>33952</v>
      </c>
      <c r="C67" t="n">
        <v>0.161659954</v>
      </c>
      <c r="D67" t="n">
        <v>5068.000004545261</v>
      </c>
    </row>
    <row r="68">
      <c r="A68" t="n">
        <v>67</v>
      </c>
      <c r="B68" t="n">
        <v>27176</v>
      </c>
      <c r="C68" t="n">
        <v>0.060327989</v>
      </c>
      <c r="D68" t="n">
        <v>1591.000010202589</v>
      </c>
    </row>
    <row r="69">
      <c r="A69" t="n">
        <v>68</v>
      </c>
      <c r="B69" t="n">
        <v>25337</v>
      </c>
      <c r="C69" t="n">
        <v>0.061404418</v>
      </c>
      <c r="D69" t="n">
        <v>1508.999994745462</v>
      </c>
    </row>
    <row r="70">
      <c r="A70" t="n">
        <v>69</v>
      </c>
      <c r="B70" t="n">
        <v>28955</v>
      </c>
      <c r="C70" t="n">
        <v>0.022457158</v>
      </c>
      <c r="D70" t="n">
        <v>643.0000103454624</v>
      </c>
    </row>
    <row r="71">
      <c r="A71" t="n">
        <v>70</v>
      </c>
      <c r="B71" t="n">
        <v>29381</v>
      </c>
      <c r="C71" t="n">
        <v>0.021049788</v>
      </c>
      <c r="D71" t="n">
        <v>611.9999886148111</v>
      </c>
    </row>
    <row r="72">
      <c r="A72" t="n">
        <v>71</v>
      </c>
      <c r="B72" t="n">
        <v>27738</v>
      </c>
      <c r="C72" t="n">
        <v>0.004045956</v>
      </c>
      <c r="D72" t="n">
        <v>112.0000012051763</v>
      </c>
    </row>
    <row r="73">
      <c r="A73" t="n">
        <v>72</v>
      </c>
      <c r="B73" t="n">
        <v>31775</v>
      </c>
      <c r="C73" t="n">
        <v>0.003941668</v>
      </c>
      <c r="D73" t="n">
        <v>124.9999846392238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AEB_observed</t>
        </is>
      </c>
      <c r="C1" s="1" t="inlineStr">
        <is>
          <t>AEB_pred_4PL</t>
        </is>
      </c>
      <c r="D1" s="1" t="inlineStr">
        <is>
          <t>resid_4PL</t>
        </is>
      </c>
      <c r="E1" s="1" t="inlineStr">
        <is>
          <t>P_pred_TCS</t>
        </is>
      </c>
      <c r="F1" s="1" t="inlineStr">
        <is>
          <t>AEB_pred_TCS</t>
        </is>
      </c>
      <c r="G1" s="1" t="inlineStr">
        <is>
          <t>resid_TCS</t>
        </is>
      </c>
    </row>
    <row r="2">
      <c r="A2" t="n">
        <v>0</v>
      </c>
      <c r="B2" t="n">
        <v>0.0029</v>
      </c>
      <c r="C2" t="n">
        <v>0.0033</v>
      </c>
      <c r="D2" t="n">
        <v>-0.0004000000000000002</v>
      </c>
      <c r="E2" t="n">
        <v>0.003711984493444581</v>
      </c>
      <c r="F2" t="n">
        <v>0.003718891004422814</v>
      </c>
      <c r="G2" t="n">
        <v>-0.0008188910044228145</v>
      </c>
    </row>
    <row r="3">
      <c r="A3" t="n">
        <v>0</v>
      </c>
      <c r="B3" t="n">
        <v>0.0037</v>
      </c>
      <c r="C3" t="n">
        <v>0.0033</v>
      </c>
      <c r="D3" t="n">
        <v>0.0004000000000000002</v>
      </c>
      <c r="E3" t="n">
        <v>0.003711984493444581</v>
      </c>
      <c r="F3" t="n">
        <v>0.003718891004422814</v>
      </c>
      <c r="G3" t="n">
        <v>-1.889100442281416e-05</v>
      </c>
    </row>
    <row r="4">
      <c r="A4" t="n">
        <v>0.0328</v>
      </c>
      <c r="B4" t="n">
        <v>0.0255</v>
      </c>
      <c r="C4" t="n">
        <v>0.02429211883001206</v>
      </c>
      <c r="D4" t="n">
        <v>0.001207881169987938</v>
      </c>
      <c r="E4" t="n">
        <v>0.0199842356992416</v>
      </c>
      <c r="F4" t="n">
        <v>0.02430355403103928</v>
      </c>
      <c r="G4" t="n">
        <v>0.001196445968960718</v>
      </c>
    </row>
    <row r="5">
      <c r="A5" t="n">
        <v>0.0328</v>
      </c>
      <c r="B5" t="n">
        <v>0.0268</v>
      </c>
      <c r="C5" t="n">
        <v>0.02429211883001206</v>
      </c>
      <c r="D5" t="n">
        <v>0.00250788116998794</v>
      </c>
      <c r="E5" t="n">
        <v>0.0199842356992416</v>
      </c>
      <c r="F5" t="n">
        <v>0.02430355403103928</v>
      </c>
      <c r="G5" t="n">
        <v>0.002496445968960721</v>
      </c>
    </row>
    <row r="6">
      <c r="A6" t="n">
        <v>0.0984</v>
      </c>
      <c r="B6" t="n">
        <v>0.0655</v>
      </c>
      <c r="C6" t="n">
        <v>0.06639900729650675</v>
      </c>
      <c r="D6" t="n">
        <v>-0.000899007296506743</v>
      </c>
      <c r="E6" t="n">
        <v>0.05173576083375996</v>
      </c>
      <c r="F6" t="n">
        <v>0.06547288008427217</v>
      </c>
      <c r="G6" t="n">
        <v>2.71199157278329e-05</v>
      </c>
    </row>
    <row r="7">
      <c r="A7" t="n">
        <v>0.0984</v>
      </c>
      <c r="B7" t="n">
        <v>0.0687</v>
      </c>
      <c r="C7" t="n">
        <v>0.06639900729650675</v>
      </c>
      <c r="D7" t="n">
        <v>0.002300992703493251</v>
      </c>
      <c r="E7" t="n">
        <v>0.05173576083375996</v>
      </c>
      <c r="F7" t="n">
        <v>0.06547288008427217</v>
      </c>
      <c r="G7" t="n">
        <v>0.003227119915727827</v>
      </c>
    </row>
    <row r="8">
      <c r="A8" t="n">
        <v>0.296</v>
      </c>
      <c r="B8" t="n">
        <v>0.1807</v>
      </c>
      <c r="C8" t="n">
        <v>0.1931622621108194</v>
      </c>
      <c r="D8" t="n">
        <v>-0.01246226211081944</v>
      </c>
      <c r="E8" t="n">
        <v>0.141295238885029</v>
      </c>
      <c r="F8" t="n">
        <v>0.1894829231958398</v>
      </c>
      <c r="G8" t="n">
        <v>-0.008782923195839787</v>
      </c>
    </row>
    <row r="9">
      <c r="A9" t="n">
        <v>0.296</v>
      </c>
      <c r="B9" t="n">
        <v>0.197</v>
      </c>
      <c r="C9" t="n">
        <v>0.1931622621108194</v>
      </c>
      <c r="D9" t="n">
        <v>0.00383773788918057</v>
      </c>
      <c r="E9" t="n">
        <v>0.141295238885029</v>
      </c>
      <c r="F9" t="n">
        <v>0.1894829231958398</v>
      </c>
      <c r="G9" t="n">
        <v>0.007517076804160222</v>
      </c>
    </row>
    <row r="10">
      <c r="A10" t="n">
        <v>0.888</v>
      </c>
      <c r="B10" t="n">
        <v>0.5426</v>
      </c>
      <c r="C10" t="n">
        <v>0.5702025004718201</v>
      </c>
      <c r="D10" t="n">
        <v>-0.02760250047182011</v>
      </c>
      <c r="E10" t="n">
        <v>0.3620864894727568</v>
      </c>
      <c r="F10" t="n">
        <v>0.5610109875786735</v>
      </c>
      <c r="G10" t="n">
        <v>-0.01841098757867354</v>
      </c>
    </row>
    <row r="11">
      <c r="A11" t="n">
        <v>0.888</v>
      </c>
      <c r="B11" t="n">
        <v>0.5826</v>
      </c>
      <c r="C11" t="n">
        <v>0.5702025004718201</v>
      </c>
      <c r="D11" t="n">
        <v>0.01239749952817992</v>
      </c>
      <c r="E11" t="n">
        <v>0.3620864894727568</v>
      </c>
      <c r="F11" t="n">
        <v>0.5610109875786735</v>
      </c>
      <c r="G11" t="n">
        <v>0.02158901242132649</v>
      </c>
    </row>
    <row r="12">
      <c r="A12" t="n">
        <v>2.664</v>
      </c>
      <c r="B12" t="n">
        <v>1.6441</v>
      </c>
      <c r="C12" t="n">
        <v>1.671237717173206</v>
      </c>
      <c r="D12" t="n">
        <v>-0.02713771717320657</v>
      </c>
      <c r="E12" t="n">
        <v>0.7384735681546327</v>
      </c>
      <c r="F12" t="n">
        <v>1.675595180727175</v>
      </c>
      <c r="G12" t="n">
        <v>-0.0314951807271755</v>
      </c>
    </row>
    <row r="13">
      <c r="A13" t="n">
        <v>2.664</v>
      </c>
      <c r="B13" t="n">
        <v>1.7458</v>
      </c>
      <c r="C13" t="n">
        <v>1.671237717173206</v>
      </c>
      <c r="D13" t="n">
        <v>0.07456228282679356</v>
      </c>
      <c r="E13" t="n">
        <v>0.7384735681546327</v>
      </c>
      <c r="F13" t="n">
        <v>1.675595180727175</v>
      </c>
      <c r="G13" t="n">
        <v>0.07020481927282463</v>
      </c>
    </row>
    <row r="14">
      <c r="A14" t="n">
        <v>8</v>
      </c>
      <c r="B14" t="n">
        <v>4.4611</v>
      </c>
      <c r="C14" t="n">
        <v>4.713986705458439</v>
      </c>
      <c r="D14" t="n">
        <v>-0.2528867054584394</v>
      </c>
      <c r="E14" t="n">
        <v>0.9820513164389394</v>
      </c>
      <c r="F14" t="n">
        <v>5.024368409691374</v>
      </c>
      <c r="G14" t="n">
        <v>-0.563268409691374</v>
      </c>
    </row>
    <row r="15">
      <c r="A15" t="n">
        <v>8</v>
      </c>
      <c r="B15" t="n">
        <v>4.8785</v>
      </c>
      <c r="C15" t="n">
        <v>4.713986705458439</v>
      </c>
      <c r="D15" t="n">
        <v>0.1645132945415604</v>
      </c>
      <c r="E15" t="n">
        <v>0.9820513164389394</v>
      </c>
      <c r="F15" t="n">
        <v>5.024368409691374</v>
      </c>
      <c r="G15" t="n">
        <v>-0.1458684096913743</v>
      </c>
    </row>
    <row r="16">
      <c r="A16" t="n">
        <v>24</v>
      </c>
      <c r="B16" t="n">
        <v>13.2759</v>
      </c>
      <c r="C16" t="n">
        <v>11.94387218015903</v>
      </c>
      <c r="D16" t="n">
        <v>1.332027819840967</v>
      </c>
      <c r="E16" t="n">
        <v>0.9999941745699672</v>
      </c>
      <c r="F16" t="n">
        <v>15.06566744729551</v>
      </c>
      <c r="G16" t="n">
        <v>-1.789767447295512</v>
      </c>
    </row>
    <row r="17">
      <c r="A17" t="n">
        <v>24</v>
      </c>
      <c r="B17" t="n">
        <v>12.3785</v>
      </c>
      <c r="C17" t="n">
        <v>11.94387218015903</v>
      </c>
      <c r="D17" t="n">
        <v>0.4346278198409674</v>
      </c>
      <c r="E17" t="n">
        <v>0.9999941745699672</v>
      </c>
      <c r="F17" t="n">
        <v>15.06566744729551</v>
      </c>
      <c r="G17" t="n">
        <v>-2.687167447295511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A_4pl (fixed from blank)</t>
        </is>
      </c>
      <c r="B2" t="n">
        <v>0.0033</v>
      </c>
      <c r="C2" t="inlineStr">
        <is>
          <t>Lower asymptote</t>
        </is>
      </c>
    </row>
    <row r="3">
      <c r="A3" t="inlineStr">
        <is>
          <t>B_4pl (slope)</t>
        </is>
      </c>
      <c r="B3" t="n">
        <v>1.00252852916278</v>
      </c>
    </row>
    <row r="4">
      <c r="A4" t="inlineStr">
        <is>
          <t>C_4pl (midpoint)</t>
        </is>
      </c>
      <c r="B4" t="n">
        <v>359.245646844495</v>
      </c>
      <c r="C4" t="inlineStr">
        <is>
          <t>pg/mL × scale</t>
        </is>
      </c>
    </row>
    <row r="5">
      <c r="A5" t="inlineStr">
        <is>
          <t>D_4pl (upper asymptote)</t>
        </is>
      </c>
      <c r="B5" t="n">
        <v>50.64253879384457</v>
      </c>
    </row>
    <row r="6">
      <c r="A6" t="inlineStr">
        <is>
          <t>κ_tcs (depletion)</t>
        </is>
      </c>
      <c r="B6" t="n">
        <v>8.226510783248591</v>
      </c>
      <c r="C6" t="inlineStr">
        <is>
          <t>Mid-conc identifiable</t>
        </is>
      </c>
    </row>
    <row r="7">
      <c r="A7" t="inlineStr">
        <is>
          <t>b_tcs (background)</t>
        </is>
      </c>
      <c r="B7" t="n">
        <v>0.003711984493444581</v>
      </c>
      <c r="C7" t="inlineStr">
        <is>
          <t>Non-specific binding</t>
        </is>
      </c>
    </row>
    <row r="8">
      <c r="A8" t="inlineStr">
        <is>
          <t>Mw (Da)</t>
        </is>
      </c>
      <c r="B8" t="n">
        <v>26000</v>
      </c>
      <c r="C8" t="inlineStr">
        <is>
          <t>IL-6 molecular weight</t>
        </is>
      </c>
    </row>
    <row r="9">
      <c r="A9" t="inlineStr">
        <is>
          <t>V (assay volume)</t>
        </is>
      </c>
      <c r="B9" t="n">
        <v>0.000125</v>
      </c>
      <c r="C9" t="inlineStr">
        <is>
          <t>Liters</t>
        </is>
      </c>
    </row>
    <row r="10">
      <c r="A10" t="inlineStr">
        <is>
          <t>N_total (beads)</t>
        </is>
      </c>
      <c r="B10" t="n">
        <v>500000</v>
      </c>
      <c r="C10" t="inlineStr">
        <is>
          <t>TCS normalization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Point</t>
        </is>
      </c>
      <c r="D1" s="1" t="inlineStr">
        <is>
          <t>2.5%</t>
        </is>
      </c>
      <c r="E1" s="1" t="inlineStr">
        <is>
          <t>97.5%</t>
        </is>
      </c>
      <c r="F1" s="1" t="inlineStr">
        <is>
          <t>Width</t>
        </is>
      </c>
      <c r="G1" s="1" t="inlineStr">
        <is>
          <t>Relative width</t>
        </is>
      </c>
    </row>
    <row r="2">
      <c r="A2" t="inlineStr">
        <is>
          <t>4PL</t>
        </is>
      </c>
      <c r="B2" t="inlineStr">
        <is>
          <t>B</t>
        </is>
      </c>
      <c r="C2" t="n">
        <v>1.00252852916278</v>
      </c>
      <c r="D2" t="n">
        <v>0.9858122412817122</v>
      </c>
      <c r="E2" t="n">
        <v>1.020882908304793</v>
      </c>
      <c r="F2" t="n">
        <v>0.03507066702308104</v>
      </c>
      <c r="G2" t="n">
        <v>0.03498221347612804</v>
      </c>
    </row>
    <row r="3">
      <c r="A3" t="inlineStr">
        <is>
          <t>4PL</t>
        </is>
      </c>
      <c r="B3" t="inlineStr">
        <is>
          <t>C</t>
        </is>
      </c>
      <c r="C3" t="n">
        <v>359.245646844495</v>
      </c>
      <c r="D3" t="n">
        <v>358.6587816431498</v>
      </c>
      <c r="E3" t="n">
        <v>359.7665568284839</v>
      </c>
      <c r="F3" t="n">
        <v>1.107775185334106</v>
      </c>
      <c r="G3" t="n">
        <v>0.00308361477742171</v>
      </c>
    </row>
    <row r="4">
      <c r="A4" t="inlineStr">
        <is>
          <t>4PL</t>
        </is>
      </c>
      <c r="B4" t="inlineStr">
        <is>
          <t>D</t>
        </is>
      </c>
      <c r="C4" t="n">
        <v>50.64253879384457</v>
      </c>
      <c r="D4" t="n">
        <v>46.73476049468378</v>
      </c>
      <c r="E4" t="n">
        <v>55.05477870163286</v>
      </c>
      <c r="F4" t="n">
        <v>8.320018206949086</v>
      </c>
      <c r="G4" t="n">
        <v>0.1642891214600868</v>
      </c>
    </row>
    <row r="5">
      <c r="A5" t="inlineStr">
        <is>
          <t>TCS</t>
        </is>
      </c>
      <c r="B5" t="inlineStr">
        <is>
          <t>kappa</t>
        </is>
      </c>
      <c r="C5" t="n">
        <v>8.226510783248591</v>
      </c>
      <c r="D5" t="n">
        <v>7.976311038104347</v>
      </c>
      <c r="E5" t="n">
        <v>8.5836360977951</v>
      </c>
      <c r="F5" t="n">
        <v>0.6073250596907531</v>
      </c>
      <c r="G5" t="n">
        <v>0.07382535265466762</v>
      </c>
    </row>
    <row r="6">
      <c r="A6" t="inlineStr">
        <is>
          <t>TCS</t>
        </is>
      </c>
      <c r="B6" t="inlineStr">
        <is>
          <t>b</t>
        </is>
      </c>
      <c r="C6" t="n">
        <v>0.003711984493444581</v>
      </c>
      <c r="D6" t="n">
        <v>0.003083916053059324</v>
      </c>
      <c r="E6" t="n">
        <v>0.006835562087233455</v>
      </c>
      <c r="F6" t="n">
        <v>0.003751646034174131</v>
      </c>
      <c r="G6" t="n">
        <v>1.01068472694312</v>
      </c>
    </row>
    <row r="7"/>
    <row r="8">
      <c r="A8">
        <f>= Correlations ρ (KEY CLAIM) ==</f>
        <v/>
      </c>
    </row>
    <row r="9">
      <c r="A9" t="inlineStr">
        <is>
          <t>4PL</t>
        </is>
      </c>
      <c r="B9" t="inlineStr">
        <is>
          <t>ρ(B, C)</t>
        </is>
      </c>
      <c r="C9" t="n">
        <v>-0.06730164501214772</v>
      </c>
    </row>
    <row r="10">
      <c r="A10" t="inlineStr">
        <is>
          <t>4PL</t>
        </is>
      </c>
      <c r="B10" t="inlineStr">
        <is>
          <t>ρ(B, D)</t>
        </is>
      </c>
      <c r="C10" t="n">
        <v>0.3672939046638418</v>
      </c>
    </row>
    <row r="11">
      <c r="A11" t="inlineStr">
        <is>
          <t>4PL</t>
        </is>
      </c>
      <c r="B11" t="inlineStr">
        <is>
          <t>ρ(C, D)</t>
        </is>
      </c>
      <c r="C11" t="n">
        <v>0.8892220011398669</v>
      </c>
    </row>
    <row r="12">
      <c r="A12" t="inlineStr">
        <is>
          <t>TCS</t>
        </is>
      </c>
      <c r="B12" t="inlineStr">
        <is>
          <t>ρ(κ, b)</t>
        </is>
      </c>
      <c r="C12" t="n">
        <v>0.3529232807751658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4PL</t>
        </is>
      </c>
      <c r="C1" s="1" t="inlineStr">
        <is>
          <t>TCS</t>
        </is>
      </c>
      <c r="D1" s="1" t="inlineStr">
        <is>
          <t>Winner / Note</t>
        </is>
      </c>
    </row>
    <row r="2">
      <c r="A2" t="inlineStr">
        <is>
          <t>logL</t>
        </is>
      </c>
      <c r="B2" t="n">
        <v>-124799.5032245236</v>
      </c>
      <c r="C2" t="n">
        <v>-124824.2760542102</v>
      </c>
      <c r="D2" t="inlineStr">
        <is>
          <t>Higher = better fit</t>
        </is>
      </c>
    </row>
    <row r="3">
      <c r="A3" t="inlineStr">
        <is>
          <t>AICc</t>
        </is>
      </c>
      <c r="B3" t="n">
        <v>249607.0064490471</v>
      </c>
      <c r="C3" t="n">
        <v>249653.4751853435</v>
      </c>
      <c r="D3" t="inlineStr">
        <is>
          <t>Lower = better (penalizes complexity)</t>
        </is>
      </c>
    </row>
    <row r="4">
      <c r="A4" t="inlineStr">
        <is>
          <t>BIC</t>
        </is>
      </c>
      <c r="B4" t="n">
        <v>249607.3242152139</v>
      </c>
      <c r="C4" t="n">
        <v>249654.0972858649</v>
      </c>
      <c r="D4" t="inlineStr">
        <is>
          <t>Lower = better</t>
        </is>
      </c>
    </row>
    <row r="5">
      <c r="A5" t="inlineStr">
        <is>
          <t>R² (weighted, AEB scale)</t>
        </is>
      </c>
      <c r="B5" t="n">
        <v>0.9984165206947394</v>
      </c>
      <c r="C5" t="n">
        <v>0.9976950820740458</v>
      </c>
      <c r="D5" t="inlineStr">
        <is>
          <t>Higher = better</t>
        </is>
      </c>
    </row>
    <row r="6">
      <c r="A6" t="inlineStr">
        <is>
          <t>Shapiro-Wilk p (residuals)</t>
        </is>
      </c>
      <c r="B6" t="n">
        <v>0.6202703984021116</v>
      </c>
      <c r="C6" t="n">
        <v>0.8882526530576005</v>
      </c>
      <c r="D6" t="inlineStr">
        <is>
          <t>Higher = more 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4PL LOO failures</t>
        </is>
      </c>
      <c r="B2" t="n">
        <v>0</v>
      </c>
      <c r="C2" t="inlineStr">
        <is>
          <t>out of 16 wells</t>
        </is>
      </c>
    </row>
    <row r="3">
      <c r="A3" t="inlineStr">
        <is>
          <t>TCS LOO failures</t>
        </is>
      </c>
      <c r="B3" t="n">
        <v>0</v>
      </c>
      <c r="C3" t="inlineStr">
        <is>
          <t>out of 16 wells</t>
        </is>
      </c>
    </row>
    <row r="4">
      <c r="A4" t="inlineStr">
        <is>
          <t>LOO total logL (4PL)</t>
        </is>
      </c>
      <c r="B4" t="n">
        <v>-124867.0285035436</v>
      </c>
      <c r="C4" t="inlineStr">
        <is>
          <t>Sum across wells</t>
        </is>
      </c>
    </row>
    <row r="5">
      <c r="A5" t="inlineStr">
        <is>
          <t>LOO total logL (TCS)</t>
        </is>
      </c>
      <c r="B5" t="n">
        <v>-124854.6951896058</v>
      </c>
      <c r="C5" t="inlineStr">
        <is>
          <t>Sum across wells</t>
        </is>
      </c>
    </row>
    <row r="6">
      <c r="A6" t="inlineStr">
        <is>
          <t>Mean diff (4PL - TCS)</t>
        </is>
      </c>
      <c r="B6" t="n">
        <v>-0.7708321211118327</v>
      </c>
      <c r="C6" t="inlineStr">
        <is>
          <t>Positive = TCS better</t>
        </is>
      </c>
    </row>
    <row r="7">
      <c r="A7" t="inlineStr">
        <is>
          <t>SE of diff</t>
        </is>
      </c>
      <c r="B7" t="n">
        <v>1.981253693487567</v>
      </c>
    </row>
    <row r="8">
      <c r="A8" t="inlineStr">
        <is>
          <t>t-statistic</t>
        </is>
      </c>
      <c r="B8" t="n">
        <v>-0.3890628058615503</v>
      </c>
      <c r="C8" t="inlineStr">
        <is>
          <t>Paired t-test LOO</t>
        </is>
      </c>
    </row>
    <row r="9">
      <c r="A9" t="inlineStr">
        <is>
          <t>TOST margin (±logL)</t>
        </is>
      </c>
      <c r="B9" t="n">
        <v>78.03418449350363</v>
      </c>
      <c r="C9" t="inlineStr">
        <is>
          <t>1% of mean per-fold |logL|</t>
        </is>
      </c>
    </row>
    <row r="10">
      <c r="A10" t="inlineStr">
        <is>
          <t>Mean diff 90% CI</t>
        </is>
      </c>
      <c r="B10" t="inlineStr">
        <is>
          <t>[-4.244, 2.702]</t>
        </is>
      </c>
    </row>
    <row r="11">
      <c r="A11" t="inlineStr">
        <is>
          <t>TOST p</t>
        </is>
      </c>
      <c r="B11" t="n">
        <v>1.110223024625157e-16</v>
      </c>
      <c r="C11" t="inlineStr">
        <is>
          <t>EQUIVALENT</t>
        </is>
      </c>
    </row>
    <row r="12">
      <c r="A12" t="inlineStr">
        <is>
          <t>Smallest passing margin (logL)</t>
        </is>
      </c>
      <c r="B12" t="n">
        <v>4.244069613197434</v>
      </c>
      <c r="C12" t="inlineStr">
        <is>
          <t>0.054% of per-fold |logL|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Value (pg/mL)</t>
        </is>
      </c>
      <c r="C1" s="1" t="inlineStr">
        <is>
          <t>Source</t>
        </is>
      </c>
    </row>
    <row r="2">
      <c r="A2" t="inlineStr">
        <is>
          <t>Manufacturer LOD</t>
        </is>
      </c>
      <c r="B2" t="n">
        <v>0.0055</v>
      </c>
      <c r="C2" t="inlineStr">
        <is>
          <t>Quoted by manufacturer</t>
        </is>
      </c>
    </row>
    <row r="3">
      <c r="A3" t="inlineStr">
        <is>
          <t>Analytical LLOQ</t>
        </is>
      </c>
      <c r="B3" t="n">
        <v>0.01</v>
      </c>
      <c r="C3" t="inlineStr">
        <is>
          <t>Quoted by manufacturer</t>
        </is>
      </c>
    </row>
    <row r="4">
      <c r="A4" t="inlineStr">
        <is>
          <t>Functional LLOQ (4× LOD)</t>
        </is>
      </c>
      <c r="B4" t="n">
        <v>0.04</v>
      </c>
      <c r="C4" t="inlineStr">
        <is>
          <t>Quoted by manufacturer</t>
        </is>
      </c>
    </row>
    <row r="5">
      <c r="A5" t="inlineStr">
        <is>
          <t>Plasma lower bound (normal)</t>
        </is>
      </c>
      <c r="B5" t="n">
        <v>0.607</v>
      </c>
      <c r="C5" t="inlineStr">
        <is>
          <t>Reference range</t>
        </is>
      </c>
    </row>
    <row r="6">
      <c r="A6" t="inlineStr">
        <is>
          <t>Plasma mean (normal)</t>
        </is>
      </c>
      <c r="B6" t="n">
        <v>1.79</v>
      </c>
      <c r="C6" t="inlineStr">
        <is>
          <t>Reference range</t>
        </is>
      </c>
    </row>
    <row r="7">
      <c r="A7" t="inlineStr">
        <is>
          <t>Plasma upper bound (normal)</t>
        </is>
      </c>
      <c r="B7" t="n">
        <v>4.64</v>
      </c>
      <c r="C7" t="inlineStr">
        <is>
          <t>Reference range</t>
        </is>
      </c>
    </row>
    <row r="8">
      <c r="A8" t="inlineStr">
        <is>
          <t>Highest calibrator</t>
        </is>
      </c>
      <c r="B8" t="n">
        <v>24</v>
      </c>
      <c r="C8" t="inlineStr">
        <is>
          <t>Standard curve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per training well — M_hat with 3 CIs (Delta / Exact / LR)</t>
        </is>
      </c>
    </row>
    <row r="2">
      <c r="A2" s="1" t="inlineStr">
        <is>
          <t>Conc (pg/mL)</t>
        </is>
      </c>
      <c r="B2" s="1" t="inlineStr">
        <is>
          <t>k</t>
        </is>
      </c>
      <c r="C2" s="1" t="inlineStr">
        <is>
          <t>n</t>
        </is>
      </c>
      <c r="D2" s="1" t="inlineStr">
        <is>
          <t>P_obs</t>
        </is>
      </c>
      <c r="E2" s="1" t="inlineStr">
        <is>
          <t>M_hat</t>
        </is>
      </c>
      <c r="F2" s="1" t="inlineStr">
        <is>
          <t>CV (%)</t>
        </is>
      </c>
      <c r="G2" s="1" t="inlineStr">
        <is>
          <t>Delta_low</t>
        </is>
      </c>
      <c r="H2" s="1" t="inlineStr">
        <is>
          <t>Delta_up</t>
        </is>
      </c>
      <c r="I2" s="1" t="inlineStr">
        <is>
          <t>Exact_low</t>
        </is>
      </c>
      <c r="J2" s="1" t="inlineStr">
        <is>
          <t>Exact_up</t>
        </is>
      </c>
      <c r="K2" s="1" t="inlineStr">
        <is>
          <t>LR_low</t>
        </is>
      </c>
      <c r="L2" s="1" t="inlineStr">
        <is>
          <t>LR_up</t>
        </is>
      </c>
    </row>
    <row r="3">
      <c r="A3" t="n">
        <v>0.0328</v>
      </c>
      <c r="B3" t="n">
        <v>783.2757903757947</v>
      </c>
      <c r="C3" t="n">
        <v>31110</v>
      </c>
      <c r="D3" t="n">
        <v>0.0251776210342589</v>
      </c>
      <c r="E3" t="n">
        <v>100481.818509403</v>
      </c>
      <c r="F3" t="n">
        <v>4.18325758317425</v>
      </c>
      <c r="G3" t="n">
        <v>92243.27984395438</v>
      </c>
      <c r="H3" t="n">
        <v>108720.3571748517</v>
      </c>
      <c r="I3" t="n">
        <v>92384.67187617833</v>
      </c>
      <c r="J3" t="n">
        <v>109017.1503925709</v>
      </c>
      <c r="K3" t="n">
        <v>92434.47976432448</v>
      </c>
      <c r="L3" t="n">
        <v>108913.8033511197</v>
      </c>
    </row>
    <row r="4">
      <c r="A4" t="n">
        <v>0.0328</v>
      </c>
      <c r="B4" t="n">
        <v>800.1181279220885</v>
      </c>
      <c r="C4" t="n">
        <v>30257</v>
      </c>
      <c r="D4" t="n">
        <v>0.0264440667588355</v>
      </c>
      <c r="E4" t="n">
        <v>106479.0505185144</v>
      </c>
      <c r="F4" t="n">
        <v>4.105008531016773</v>
      </c>
      <c r="G4" t="n">
        <v>97912.09869039716</v>
      </c>
      <c r="H4" t="n">
        <v>115046.0023466316</v>
      </c>
      <c r="I4" t="n">
        <v>98057.4678217905</v>
      </c>
      <c r="J4" t="n">
        <v>115351.316952475</v>
      </c>
      <c r="K4" t="n">
        <v>98108.8307699452</v>
      </c>
      <c r="L4" t="n">
        <v>115245.0212099571</v>
      </c>
    </row>
    <row r="5">
      <c r="A5" t="n">
        <v>0.0984</v>
      </c>
      <c r="B5" t="n">
        <v>1730.655820602437</v>
      </c>
      <c r="C5" t="n">
        <v>27297</v>
      </c>
      <c r="D5" t="n">
        <v>0.06340095324037209</v>
      </c>
      <c r="E5" t="n">
        <v>285012.0341743743</v>
      </c>
      <c r="F5" t="n">
        <v>2.548929821529851</v>
      </c>
      <c r="G5" t="n">
        <v>270773.3726192513</v>
      </c>
      <c r="H5" t="n">
        <v>299250.6957294973</v>
      </c>
      <c r="I5" t="n">
        <v>270934.1228564534</v>
      </c>
      <c r="J5" t="n">
        <v>299594.3004799662</v>
      </c>
      <c r="K5" t="n">
        <v>270996.21508449</v>
      </c>
      <c r="L5" t="n">
        <v>299475.3015917896</v>
      </c>
    </row>
    <row r="6">
      <c r="A6" t="n">
        <v>0.0984</v>
      </c>
      <c r="B6" t="n">
        <v>2223.577337595543</v>
      </c>
      <c r="C6" t="n">
        <v>33491</v>
      </c>
      <c r="D6" t="n">
        <v>0.0663932799138736</v>
      </c>
      <c r="E6" t="n">
        <v>299774.4514275725</v>
      </c>
      <c r="F6" t="n">
        <v>2.242481665019226</v>
      </c>
      <c r="G6" t="n">
        <v>286598.8148024726</v>
      </c>
      <c r="H6" t="n">
        <v>312950.0880526723</v>
      </c>
      <c r="I6" t="n">
        <v>286729.7397892913</v>
      </c>
      <c r="J6" t="n">
        <v>313230.2830788062</v>
      </c>
      <c r="K6" t="n">
        <v>286780.82975729</v>
      </c>
      <c r="L6" t="n">
        <v>313133.3735670879</v>
      </c>
    </row>
    <row r="7">
      <c r="A7" t="n">
        <v>0.296</v>
      </c>
      <c r="B7" t="n">
        <v>3830.497023002369</v>
      </c>
      <c r="C7" t="n">
        <v>23171</v>
      </c>
      <c r="D7" t="n">
        <v>0.1653142731432553</v>
      </c>
      <c r="E7" t="n">
        <v>816459.0552894928</v>
      </c>
      <c r="F7" t="n">
        <v>1.651940427420586</v>
      </c>
      <c r="G7" t="n">
        <v>790024.2033180069</v>
      </c>
      <c r="H7" t="n">
        <v>842893.9072609787</v>
      </c>
      <c r="I7" t="n">
        <v>790212.9603036817</v>
      </c>
      <c r="J7" t="n">
        <v>843322.8654150667</v>
      </c>
      <c r="K7" t="n">
        <v>790303.6258262515</v>
      </c>
      <c r="L7" t="n">
        <v>843174.8508097521</v>
      </c>
    </row>
    <row r="8">
      <c r="A8" t="n">
        <v>0.296</v>
      </c>
      <c r="B8" t="n">
        <v>6384.567246938235</v>
      </c>
      <c r="C8" t="n">
        <v>35706</v>
      </c>
      <c r="D8" t="n">
        <v>0.178809366687342</v>
      </c>
      <c r="E8" t="n">
        <v>891655.1181729696</v>
      </c>
      <c r="F8" t="n">
        <v>1.277653620091134</v>
      </c>
      <c r="G8" t="n">
        <v>869326.6912343065</v>
      </c>
      <c r="H8" t="n">
        <v>913983.5451116326</v>
      </c>
      <c r="I8" t="n">
        <v>869448.9715595815</v>
      </c>
      <c r="J8" t="n">
        <v>914263.9829402588</v>
      </c>
      <c r="K8" t="n">
        <v>869509.7544740846</v>
      </c>
      <c r="L8" t="n">
        <v>914167.3837782212</v>
      </c>
    </row>
    <row r="9">
      <c r="A9" t="n">
        <v>0.888</v>
      </c>
      <c r="B9" t="n">
        <v>13280.292069666</v>
      </c>
      <c r="C9" t="n">
        <v>31713</v>
      </c>
      <c r="D9" t="n">
        <v>0.4187649250990445</v>
      </c>
      <c r="E9" t="n">
        <v>2485996.181518326</v>
      </c>
      <c r="F9" t="n">
        <v>0.8844995562758617</v>
      </c>
      <c r="G9" t="n">
        <v>2442899.26806743</v>
      </c>
      <c r="H9" t="n">
        <v>2529093.094969222</v>
      </c>
      <c r="I9" t="n">
        <v>2443035.487907357</v>
      </c>
      <c r="J9" t="n">
        <v>2529479.961799069</v>
      </c>
      <c r="K9" t="n">
        <v>2443152.189628418</v>
      </c>
      <c r="L9" t="n">
        <v>2529346.918054816</v>
      </c>
    </row>
    <row r="10">
      <c r="A10" t="n">
        <v>0.888</v>
      </c>
      <c r="B10" t="n">
        <v>13471.41608959803</v>
      </c>
      <c r="C10" t="n">
        <v>30509</v>
      </c>
      <c r="D10" t="n">
        <v>0.4415554783702524</v>
      </c>
      <c r="E10" t="n">
        <v>2670526.397183298</v>
      </c>
      <c r="F10" t="n">
        <v>0.8794259116544322</v>
      </c>
      <c r="G10" t="n">
        <v>2624496.052832992</v>
      </c>
      <c r="H10" t="n">
        <v>2716556.741533603</v>
      </c>
      <c r="I10" t="n">
        <v>2624637.463869126</v>
      </c>
      <c r="J10" t="n">
        <v>2716969.27344334</v>
      </c>
      <c r="K10" t="n">
        <v>2624765.729827848</v>
      </c>
      <c r="L10" t="n">
        <v>2716827.402337191</v>
      </c>
    </row>
    <row r="11">
      <c r="A11" t="n">
        <v>2.664</v>
      </c>
      <c r="B11" t="n">
        <v>25090.29081636677</v>
      </c>
      <c r="C11" t="n">
        <v>31098</v>
      </c>
      <c r="D11" t="n">
        <v>0.8068136477061797</v>
      </c>
      <c r="E11" t="n">
        <v>7567496.995392488</v>
      </c>
      <c r="F11" t="n">
        <v>0.7064597251126273</v>
      </c>
      <c r="G11" t="n">
        <v>7462714.736622212</v>
      </c>
      <c r="H11" t="n">
        <v>7672279.254162764</v>
      </c>
      <c r="I11" t="n">
        <v>7462844.469636031</v>
      </c>
      <c r="J11" t="n">
        <v>7673176.483908588</v>
      </c>
      <c r="K11" t="n">
        <v>7463299.408301521</v>
      </c>
      <c r="L11" t="n">
        <v>7672867.820267681</v>
      </c>
    </row>
    <row r="12">
      <c r="A12" t="n">
        <v>2.664</v>
      </c>
      <c r="B12" t="n">
        <v>24884.53686190315</v>
      </c>
      <c r="C12" t="n">
        <v>30145</v>
      </c>
      <c r="D12" t="n">
        <v>0.8254946711528661</v>
      </c>
      <c r="E12" t="n">
        <v>8036665.068720676</v>
      </c>
      <c r="F12" t="n">
        <v>0.7190792799620027</v>
      </c>
      <c r="G12" t="n">
        <v>7923398.763168001</v>
      </c>
      <c r="H12" t="n">
        <v>8149931.374273351</v>
      </c>
      <c r="I12" t="n">
        <v>7923531.338867114</v>
      </c>
      <c r="J12" t="n">
        <v>8150940.438767422</v>
      </c>
      <c r="K12" t="n">
        <v>7924055.840899482</v>
      </c>
      <c r="L12" t="n">
        <v>8150593.216705978</v>
      </c>
    </row>
    <row r="13">
      <c r="A13" t="n">
        <v>8</v>
      </c>
      <c r="B13" t="n">
        <v>22722.49660716825</v>
      </c>
      <c r="C13" t="n">
        <v>22988</v>
      </c>
      <c r="D13" t="n">
        <v>0.988450348319482</v>
      </c>
      <c r="E13" t="n">
        <v>20563037.43359813</v>
      </c>
      <c r="F13" t="n">
        <v>1.368871317474302</v>
      </c>
      <c r="G13" t="n">
        <v>20011343.78928173</v>
      </c>
      <c r="H13" t="n">
        <v>21114731.07791452</v>
      </c>
      <c r="I13" t="n">
        <v>20011600.41537109</v>
      </c>
      <c r="J13" t="n">
        <v>21132372.65780188</v>
      </c>
      <c r="K13" t="n">
        <v>20022378.59064338</v>
      </c>
      <c r="L13" t="n">
        <v>21126209.44958863</v>
      </c>
    </row>
    <row r="14">
      <c r="A14" t="n">
        <v>8</v>
      </c>
      <c r="B14" t="n">
        <v>22692.02591173604</v>
      </c>
      <c r="C14" t="n">
        <v>22866</v>
      </c>
      <c r="D14" t="n">
        <v>0.9923915819004652</v>
      </c>
      <c r="E14" t="n">
        <v>22488610.23406207</v>
      </c>
      <c r="F14" t="n">
        <v>1.549330718756506</v>
      </c>
      <c r="G14" t="n">
        <v>21805713.80738237</v>
      </c>
      <c r="H14" t="n">
        <v>23171506.66074177</v>
      </c>
      <c r="I14" t="n">
        <v>21806180.08252512</v>
      </c>
      <c r="J14" t="n">
        <v>23198524.44183849</v>
      </c>
      <c r="K14" t="n">
        <v>21822409.58602711</v>
      </c>
      <c r="L14" t="n">
        <v>23189040.35251611</v>
      </c>
    </row>
    <row r="15">
      <c r="A15" t="n">
        <v>24</v>
      </c>
      <c r="B15" t="n">
        <v>28319.95142160782</v>
      </c>
      <c r="C15" t="n">
        <v>28320</v>
      </c>
      <c r="D15" t="n">
        <v>0.9999982846612928</v>
      </c>
      <c r="E15" t="n">
        <v>61227961.05960931</v>
      </c>
      <c r="F15" t="n">
        <v>34.18501382055366</v>
      </c>
      <c r="G15" t="n">
        <v>20204372.46899788</v>
      </c>
      <c r="H15" t="n">
        <v>102251549.6502207</v>
      </c>
      <c r="I15" t="n">
        <v>41128235.83223023</v>
      </c>
      <c r="J15" t="n">
        <v>127469059.1934156</v>
      </c>
      <c r="K15" t="n">
        <v>43736184.02071071</v>
      </c>
    </row>
    <row r="16">
      <c r="A16" t="n">
        <v>24</v>
      </c>
      <c r="B16" t="n">
        <v>28759.87897512647</v>
      </c>
      <c r="C16" t="n">
        <v>28760</v>
      </c>
      <c r="D16" t="n">
        <v>0.9999957919028676</v>
      </c>
      <c r="E16" t="n">
        <v>57088025.67123029</v>
      </c>
      <c r="F16" t="n">
        <v>23.22866452473772</v>
      </c>
      <c r="G16" t="n">
        <v>31097362.76928233</v>
      </c>
      <c r="H16" t="n">
        <v>83078688.57317826</v>
      </c>
      <c r="I16" t="n">
        <v>41022053.99473796</v>
      </c>
      <c r="J16" t="n">
        <v>127469059.1934156</v>
      </c>
      <c r="K16" t="n">
        <v>43300722.42422916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on the 68-sample test set (CV + CI)</t>
        </is>
      </c>
    </row>
    <row r="2">
      <c r="A2" s="1" t="inlineStr">
        <is>
          <t>Index</t>
        </is>
      </c>
      <c r="B2" s="1" t="inlineStr">
        <is>
          <t>AEB</t>
        </is>
      </c>
      <c r="C2" s="1" t="inlineStr">
        <is>
          <t>n</t>
        </is>
      </c>
      <c r="D2" s="1" t="inlineStr">
        <is>
          <t>k</t>
        </is>
      </c>
      <c r="E2" s="1" t="inlineStr">
        <is>
          <t>P_obs</t>
        </is>
      </c>
      <c r="F2" s="1" t="inlineStr">
        <is>
          <t>M_hat</t>
        </is>
      </c>
      <c r="G2" s="1" t="inlineStr">
        <is>
          <t>CV (%)</t>
        </is>
      </c>
      <c r="H2" s="1" t="inlineStr">
        <is>
          <t>Delta_low</t>
        </is>
      </c>
      <c r="I2" s="1" t="inlineStr">
        <is>
          <t>Delta_up</t>
        </is>
      </c>
      <c r="J2" s="1" t="inlineStr">
        <is>
          <t>Exact_low</t>
        </is>
      </c>
      <c r="K2" s="1" t="inlineStr">
        <is>
          <t>Exact_up</t>
        </is>
      </c>
      <c r="L2" s="1" t="inlineStr">
        <is>
          <t>LR_low</t>
        </is>
      </c>
      <c r="M2" s="1" t="inlineStr">
        <is>
          <t>LR_up</t>
        </is>
      </c>
    </row>
    <row r="3">
      <c r="A3" t="n">
        <v>0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1074328.424730726</v>
      </c>
      <c r="G3" t="n">
        <v>1.301187844375455</v>
      </c>
      <c r="H3" t="n">
        <v>1046930.02768427</v>
      </c>
      <c r="I3" t="n">
        <v>1101726.821777182</v>
      </c>
      <c r="J3" t="n">
        <v>1047080.133690513</v>
      </c>
      <c r="K3" t="n">
        <v>1102078.958485892</v>
      </c>
      <c r="L3" t="n">
        <v>1047159.841621515</v>
      </c>
      <c r="M3" t="n">
        <v>1101957.644056174</v>
      </c>
    </row>
    <row r="4">
      <c r="A4" t="n">
        <v>1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1239662.598689315</v>
      </c>
      <c r="G4" t="n">
        <v>1.140729028491857</v>
      </c>
      <c r="H4" t="n">
        <v>1211946.37339835</v>
      </c>
      <c r="I4" t="n">
        <v>1267378.823980279</v>
      </c>
      <c r="J4" t="n">
        <v>1212077.116665942</v>
      </c>
      <c r="K4" t="n">
        <v>1267692.051564024</v>
      </c>
      <c r="L4" t="n">
        <v>1212150.970193824</v>
      </c>
      <c r="M4" t="n">
        <v>1267584.220576242</v>
      </c>
    </row>
    <row r="5">
      <c r="A5" t="n">
        <v>2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12056598.18358248</v>
      </c>
      <c r="G5" t="n">
        <v>0.8080286952268216</v>
      </c>
      <c r="H5" t="n">
        <v>11865656.977173</v>
      </c>
      <c r="I5" t="n">
        <v>12247539.38999195</v>
      </c>
      <c r="J5" t="n">
        <v>11865781.46561762</v>
      </c>
      <c r="K5" t="n">
        <v>12249881.95121851</v>
      </c>
      <c r="L5" t="n">
        <v>11867171.81500642</v>
      </c>
      <c r="M5" t="n">
        <v>12249073.9444332</v>
      </c>
    </row>
    <row r="6">
      <c r="A6" t="n">
        <v>3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11813266.06762529</v>
      </c>
      <c r="G6" t="n">
        <v>0.8017180655797438</v>
      </c>
      <c r="H6" t="n">
        <v>11627639.66574632</v>
      </c>
      <c r="I6" t="n">
        <v>11998892.46950426</v>
      </c>
      <c r="J6" t="n">
        <v>11627765.38552105</v>
      </c>
      <c r="K6" t="n">
        <v>12001123.46618971</v>
      </c>
      <c r="L6" t="n">
        <v>11629083.0647094</v>
      </c>
      <c r="M6" t="n">
        <v>12000354.07371585</v>
      </c>
    </row>
    <row r="7">
      <c r="A7" t="n">
        <v>4</v>
      </c>
      <c r="B7" t="n">
        <v>0.058197346</v>
      </c>
      <c r="C7" t="n">
        <v>20960</v>
      </c>
      <c r="D7" t="n">
        <v>1185.000003972326</v>
      </c>
      <c r="E7" t="n">
        <v>0.0565362597315041</v>
      </c>
      <c r="F7" t="n">
        <v>251323.0262357081</v>
      </c>
      <c r="G7" t="n">
        <v>3.103705516841797</v>
      </c>
      <c r="H7" t="n">
        <v>236034.6669725314</v>
      </c>
      <c r="I7" t="n">
        <v>266611.3854988847</v>
      </c>
      <c r="J7" t="n">
        <v>236244.2742228669</v>
      </c>
      <c r="K7" t="n">
        <v>267058.1069330024</v>
      </c>
      <c r="L7" t="n">
        <v>236323.5520321483</v>
      </c>
      <c r="M7" t="n">
        <v>266903.0333418208</v>
      </c>
    </row>
    <row r="8">
      <c r="A8" t="n">
        <v>5</v>
      </c>
      <c r="B8" t="n">
        <v>0.058412891</v>
      </c>
      <c r="C8" t="n">
        <v>24727</v>
      </c>
      <c r="D8" t="n">
        <v>1403.000007810553</v>
      </c>
      <c r="E8" t="n">
        <v>0.0567395967084787</v>
      </c>
      <c r="F8" t="n">
        <v>252317.390369096</v>
      </c>
      <c r="G8" t="n">
        <v>2.851687419760262</v>
      </c>
      <c r="H8" t="n">
        <v>238214.8550843682</v>
      </c>
      <c r="I8" t="n">
        <v>266419.9256538239</v>
      </c>
      <c r="J8" t="n">
        <v>238392.4290560439</v>
      </c>
      <c r="K8" t="n">
        <v>266798.2699697067</v>
      </c>
      <c r="L8" t="n">
        <v>238459.8536872537</v>
      </c>
      <c r="M8" t="n">
        <v>266667.0768048685</v>
      </c>
    </row>
    <row r="9">
      <c r="A9" t="n">
        <v>6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1603777.46800201</v>
      </c>
      <c r="G9" t="n">
        <v>1.177153325303324</v>
      </c>
      <c r="H9" t="n">
        <v>1566775.465136689</v>
      </c>
      <c r="I9" t="n">
        <v>1640779.47086733</v>
      </c>
      <c r="J9" t="n">
        <v>1566948.557781924</v>
      </c>
      <c r="K9" t="n">
        <v>1641214.209835496</v>
      </c>
      <c r="L9" t="n">
        <v>1567059.313851941</v>
      </c>
      <c r="M9" t="n">
        <v>1641064.512088421</v>
      </c>
    </row>
    <row r="10">
      <c r="A10" t="n">
        <v>7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1689433.529282091</v>
      </c>
      <c r="G10" t="n">
        <v>1.093340790597703</v>
      </c>
      <c r="H10" t="n">
        <v>1653230.513358105</v>
      </c>
      <c r="I10" t="n">
        <v>1725636.545206078</v>
      </c>
      <c r="J10" t="n">
        <v>1653386.204973219</v>
      </c>
      <c r="K10" t="n">
        <v>1726032.127542986</v>
      </c>
      <c r="L10" t="n">
        <v>1653488.915383088</v>
      </c>
      <c r="M10" t="n">
        <v>1725895.965962439</v>
      </c>
    </row>
    <row r="11">
      <c r="A11" t="n">
        <v>8</v>
      </c>
      <c r="B11" t="n">
        <v>0.102767165</v>
      </c>
      <c r="C11" t="n">
        <v>22721</v>
      </c>
      <c r="D11" t="n">
        <v>2219.000008043827</v>
      </c>
      <c r="E11" t="n">
        <v>0.0976629553295993</v>
      </c>
      <c r="F11" t="n">
        <v>456934.9840411769</v>
      </c>
      <c r="G11" t="n">
        <v>2.203534754080295</v>
      </c>
      <c r="H11" t="n">
        <v>437200.65316408</v>
      </c>
      <c r="I11" t="n">
        <v>476669.3149182739</v>
      </c>
      <c r="J11" t="n">
        <v>437393.6088153252</v>
      </c>
      <c r="K11" t="n">
        <v>477089.7415225899</v>
      </c>
      <c r="L11" t="n">
        <v>437473.7477209386</v>
      </c>
      <c r="M11" t="n">
        <v>476944.3275328652</v>
      </c>
    </row>
    <row r="12">
      <c r="A12" t="n">
        <v>9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472212.6373360435</v>
      </c>
      <c r="G12" t="n">
        <v>2.197061409047274</v>
      </c>
      <c r="H12" t="n">
        <v>451878.3998071288</v>
      </c>
      <c r="I12" t="n">
        <v>492546.8748649581</v>
      </c>
      <c r="J12" t="n">
        <v>452076.5300163413</v>
      </c>
      <c r="K12" t="n">
        <v>492979.3350880452</v>
      </c>
      <c r="L12" t="n">
        <v>452159.3157946775</v>
      </c>
      <c r="M12" t="n">
        <v>492829.7614680181</v>
      </c>
    </row>
    <row r="13">
      <c r="A13" t="n">
        <v>10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564878.078858159</v>
      </c>
      <c r="G13" t="n">
        <v>1.93236030132046</v>
      </c>
      <c r="H13" t="n">
        <v>543484.1316806178</v>
      </c>
      <c r="I13" t="n">
        <v>586272.0260357002</v>
      </c>
      <c r="J13" t="n">
        <v>543666.4918004046</v>
      </c>
      <c r="K13" t="n">
        <v>586674.2773607485</v>
      </c>
      <c r="L13" t="n">
        <v>543745.7879997104</v>
      </c>
      <c r="M13" t="n">
        <v>586535.3116496063</v>
      </c>
    </row>
    <row r="14">
      <c r="A14" t="n">
        <v>11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562188.1311586016</v>
      </c>
      <c r="G14" t="n">
        <v>2.112410954944549</v>
      </c>
      <c r="H14" t="n">
        <v>538912.1404750668</v>
      </c>
      <c r="I14" t="n">
        <v>585464.1218421364</v>
      </c>
      <c r="J14" t="n">
        <v>539129.1875679765</v>
      </c>
      <c r="K14" t="n">
        <v>585942.8084328893</v>
      </c>
      <c r="L14" t="n">
        <v>539223.2013436126</v>
      </c>
      <c r="M14" t="n">
        <v>585777.3001862103</v>
      </c>
    </row>
    <row r="15">
      <c r="A15" t="n">
        <v>12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1541168.916957116</v>
      </c>
      <c r="G15" t="n">
        <v>1.275726364948164</v>
      </c>
      <c r="H15" t="n">
        <v>1502633.872584675</v>
      </c>
      <c r="I15" t="n">
        <v>1579703.961329557</v>
      </c>
      <c r="J15" t="n">
        <v>1502830.729697422</v>
      </c>
      <c r="K15" t="n">
        <v>1580194.233230026</v>
      </c>
      <c r="L15" t="n">
        <v>1502953.800412071</v>
      </c>
      <c r="M15" t="n">
        <v>1580025.335282015</v>
      </c>
    </row>
    <row r="16">
      <c r="A16" t="n">
        <v>13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1555849.024507617</v>
      </c>
      <c r="G16" t="n">
        <v>1.277118832420221</v>
      </c>
      <c r="H16" t="n">
        <v>1516904.459980093</v>
      </c>
      <c r="I16" t="n">
        <v>1594793.589035141</v>
      </c>
      <c r="J16" t="n">
        <v>1517103.302207128</v>
      </c>
      <c r="K16" t="n">
        <v>1595289.757265262</v>
      </c>
      <c r="L16" t="n">
        <v>1517228.229736697</v>
      </c>
      <c r="M16" t="n">
        <v>1595118.826410225</v>
      </c>
    </row>
    <row r="17">
      <c r="A17" t="n">
        <v>14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413794.9658588836</v>
      </c>
      <c r="G17" t="n">
        <v>2.194927372371533</v>
      </c>
      <c r="H17" t="n">
        <v>395993.5949858426</v>
      </c>
      <c r="I17" t="n">
        <v>431596.3367319246</v>
      </c>
      <c r="J17" t="n">
        <v>396167.1416124501</v>
      </c>
      <c r="K17" t="n">
        <v>431972.5964066687</v>
      </c>
      <c r="L17" t="n">
        <v>396238.026208518</v>
      </c>
      <c r="M17" t="n">
        <v>431842.4689311569</v>
      </c>
    </row>
    <row r="18">
      <c r="A18" t="n">
        <v>15</v>
      </c>
      <c r="B18" t="n">
        <v>0.0929902</v>
      </c>
      <c r="C18" t="n">
        <v>27985</v>
      </c>
      <c r="D18" t="n">
        <v>2484.999995436966</v>
      </c>
      <c r="E18" t="n">
        <v>0.0887975699638008</v>
      </c>
      <c r="F18" t="n">
        <v>411831.3475412044</v>
      </c>
      <c r="G18" t="n">
        <v>2.090347779016932</v>
      </c>
      <c r="H18" t="n">
        <v>394958.5910315807</v>
      </c>
      <c r="I18" t="n">
        <v>428704.104050828</v>
      </c>
      <c r="J18" t="n">
        <v>395115.2065273528</v>
      </c>
      <c r="K18" t="n">
        <v>429043.5362735239</v>
      </c>
      <c r="L18" t="n">
        <v>395179.2265793375</v>
      </c>
      <c r="M18" t="n">
        <v>428926.2012066381</v>
      </c>
    </row>
    <row r="19">
      <c r="A19" t="n">
        <v>16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11036303.37989777</v>
      </c>
      <c r="G19" t="n">
        <v>0.8123999168652514</v>
      </c>
      <c r="H19" t="n">
        <v>10860575.12681775</v>
      </c>
      <c r="I19" t="n">
        <v>11212031.63297778</v>
      </c>
      <c r="J19" t="n">
        <v>10860715.12188057</v>
      </c>
      <c r="K19" t="n">
        <v>11214087.61193975</v>
      </c>
      <c r="L19" t="n">
        <v>10861906.53330672</v>
      </c>
      <c r="M19" t="n">
        <v>11213378.76708523</v>
      </c>
    </row>
    <row r="20">
      <c r="A20" t="n">
        <v>17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10467776.70039624</v>
      </c>
      <c r="G20" t="n">
        <v>0.8464427544444582</v>
      </c>
      <c r="H20" t="n">
        <v>10294116.56613402</v>
      </c>
      <c r="I20" t="n">
        <v>10641436.83465846</v>
      </c>
      <c r="J20" t="n">
        <v>10294277.22989275</v>
      </c>
      <c r="K20" t="n">
        <v>10643493.50323893</v>
      </c>
      <c r="L20" t="n">
        <v>10295448.71464178</v>
      </c>
      <c r="M20" t="n">
        <v>10642784.4053998</v>
      </c>
    </row>
    <row r="21">
      <c r="A21" t="n">
        <v>18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1539057.854383866</v>
      </c>
      <c r="G21" t="n">
        <v>1.143103544420158</v>
      </c>
      <c r="H21" t="n">
        <v>1504576.159231837</v>
      </c>
      <c r="I21" t="n">
        <v>1573539.549535895</v>
      </c>
      <c r="J21" t="n">
        <v>1504733.90422141</v>
      </c>
      <c r="K21" t="n">
        <v>1573932.405571105</v>
      </c>
      <c r="L21" t="n">
        <v>1504832.724519366</v>
      </c>
      <c r="M21" t="n">
        <v>1573797.153474269</v>
      </c>
    </row>
    <row r="22">
      <c r="A22" t="n">
        <v>19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1596501.723006919</v>
      </c>
      <c r="G22" t="n">
        <v>1.159164209593879</v>
      </c>
      <c r="H22" t="n">
        <v>1560230.479417633</v>
      </c>
      <c r="I22" t="n">
        <v>1632772.966596205</v>
      </c>
      <c r="J22" t="n">
        <v>1560397.678245437</v>
      </c>
      <c r="K22" t="n">
        <v>1633192.515558989</v>
      </c>
      <c r="L22" t="n">
        <v>1560504.441492827</v>
      </c>
      <c r="M22" t="n">
        <v>1633048.061028893</v>
      </c>
    </row>
    <row r="23">
      <c r="A23" t="n">
        <v>20</v>
      </c>
      <c r="L23" t="n">
        <v>0</v>
      </c>
    </row>
    <row r="24">
      <c r="A24" t="n">
        <v>21</v>
      </c>
      <c r="L24" t="n">
        <v>0</v>
      </c>
    </row>
    <row r="25">
      <c r="A25" t="n">
        <v>22</v>
      </c>
      <c r="L25" t="n">
        <v>0</v>
      </c>
    </row>
    <row r="26">
      <c r="A26" t="n">
        <v>23</v>
      </c>
      <c r="L26" t="n">
        <v>0</v>
      </c>
    </row>
    <row r="27">
      <c r="A27" t="n">
        <v>24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77237414.22356355</v>
      </c>
      <c r="G27" t="n">
        <v>189.0885063480653</v>
      </c>
      <c r="H27" t="n">
        <v>-209009588.7024531</v>
      </c>
      <c r="I27" t="n">
        <v>363484417.1495802</v>
      </c>
      <c r="J27" t="n">
        <v>39335907.82929993</v>
      </c>
      <c r="K27" t="n">
        <v>127469059.1934156</v>
      </c>
      <c r="L27" t="n">
        <v>42328520.98706261</v>
      </c>
    </row>
    <row r="28">
      <c r="A28" t="n">
        <v>25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75386490.54393864</v>
      </c>
      <c r="G28" t="n">
        <v>158.4576840616606</v>
      </c>
      <c r="H28" t="n">
        <v>-158742353.7466747</v>
      </c>
      <c r="I28" t="n">
        <v>309515334.834552</v>
      </c>
      <c r="J28" t="n">
        <v>39338063.08197592</v>
      </c>
      <c r="K28" t="n">
        <v>127469059.1934156</v>
      </c>
      <c r="L28" t="n">
        <v>42323295.98208049</v>
      </c>
    </row>
    <row r="29">
      <c r="A29" t="n">
        <v>26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1908293.257264303</v>
      </c>
      <c r="G29" t="n">
        <v>1.14673114978914</v>
      </c>
      <c r="H29" t="n">
        <v>1865403.378698032</v>
      </c>
      <c r="I29" t="n">
        <v>1951183.135830574</v>
      </c>
      <c r="J29" t="n">
        <v>1865592.094323302</v>
      </c>
      <c r="K29" t="n">
        <v>1951676.896975781</v>
      </c>
      <c r="L29" t="n">
        <v>1865725.762577453</v>
      </c>
      <c r="M29" t="n">
        <v>1951506.890959141</v>
      </c>
    </row>
    <row r="30">
      <c r="A30" t="n">
        <v>27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1926942.70663212</v>
      </c>
      <c r="G30" t="n">
        <v>1.102619383365052</v>
      </c>
      <c r="H30" t="n">
        <v>1885299.658019229</v>
      </c>
      <c r="I30" t="n">
        <v>1968585.755245012</v>
      </c>
      <c r="J30" t="n">
        <v>1885475.398518685</v>
      </c>
      <c r="K30" t="n">
        <v>1969046.802154681</v>
      </c>
      <c r="L30" t="n">
        <v>1885600.761776738</v>
      </c>
      <c r="M30" t="n">
        <v>1968888.093445471</v>
      </c>
    </row>
    <row r="31">
      <c r="A31" t="n">
        <v>28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84663471.53166728</v>
      </c>
      <c r="G31" t="n">
        <v>406.4714000341325</v>
      </c>
      <c r="H31" t="n">
        <v>-589824418.5497719</v>
      </c>
      <c r="I31" t="n">
        <v>759151361.6131064</v>
      </c>
      <c r="J31" t="n">
        <v>38856136.30881161</v>
      </c>
      <c r="K31" t="n">
        <v>127469059.1934156</v>
      </c>
      <c r="L31" t="n">
        <v>41862625.29052399</v>
      </c>
    </row>
    <row r="32">
      <c r="A32" t="n">
        <v>29</v>
      </c>
      <c r="B32" t="n">
        <v>18.77629449</v>
      </c>
      <c r="C32" t="n">
        <v>16167</v>
      </c>
      <c r="D32" t="n">
        <v>16166.99988671084</v>
      </c>
      <c r="E32" t="n">
        <v>0.9999999929925676</v>
      </c>
      <c r="F32" t="n">
        <v>86602685.57863648</v>
      </c>
      <c r="G32" t="n">
        <v>500.4745050221716</v>
      </c>
      <c r="H32" t="n">
        <v>-762893453.9353683</v>
      </c>
      <c r="I32" t="n">
        <v>936098825.0926414</v>
      </c>
      <c r="J32" t="n">
        <v>38667085.41359985</v>
      </c>
      <c r="K32" t="n">
        <v>127469059.1934156</v>
      </c>
      <c r="L32" t="n">
        <v>41674902.38942578</v>
      </c>
    </row>
    <row r="33">
      <c r="A33" t="n">
        <v>30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15919805.93882503</v>
      </c>
      <c r="G33" t="n">
        <v>1.131927370262306</v>
      </c>
      <c r="H33" t="n">
        <v>15566619.17303414</v>
      </c>
      <c r="I33" t="n">
        <v>16272992.70461591</v>
      </c>
      <c r="J33" t="n">
        <v>15566795.36857899</v>
      </c>
      <c r="K33" t="n">
        <v>16280435.3480769</v>
      </c>
      <c r="L33" t="n">
        <v>15571361.065188</v>
      </c>
      <c r="M33" t="n">
        <v>16277853.48542771</v>
      </c>
    </row>
    <row r="34">
      <c r="A34" t="n">
        <v>31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16467651.81882538</v>
      </c>
      <c r="G34" t="n">
        <v>1.155960472479561</v>
      </c>
      <c r="H34" t="n">
        <v>16094553.96500046</v>
      </c>
      <c r="I34" t="n">
        <v>16840749.6726503</v>
      </c>
      <c r="J34" t="n">
        <v>16094730.13809272</v>
      </c>
      <c r="K34" t="n">
        <v>16849005.71540581</v>
      </c>
      <c r="L34" t="n">
        <v>16099804.37540232</v>
      </c>
      <c r="M34" t="n">
        <v>16846139.69353711</v>
      </c>
    </row>
    <row r="35">
      <c r="A35" t="n">
        <v>32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26957803.85048698</v>
      </c>
      <c r="G35" t="n">
        <v>2.296513499389683</v>
      </c>
      <c r="H35" t="n">
        <v>25744410.52233561</v>
      </c>
      <c r="I35" t="n">
        <v>28171197.17863837</v>
      </c>
      <c r="J35" t="n">
        <v>25747659.0030477</v>
      </c>
      <c r="K35" t="n">
        <v>28258307.01854528</v>
      </c>
      <c r="L35" t="n">
        <v>25795652.53974539</v>
      </c>
      <c r="M35" t="n">
        <v>28227118.98213384</v>
      </c>
    </row>
    <row r="36">
      <c r="A36" t="n">
        <v>33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29138637.82880498</v>
      </c>
      <c r="G36" t="n">
        <v>2.640515046143475</v>
      </c>
      <c r="H36" t="n">
        <v>27630621.71188694</v>
      </c>
      <c r="I36" t="n">
        <v>30646653.94572303</v>
      </c>
      <c r="J36" t="n">
        <v>27637255.1426724</v>
      </c>
      <c r="K36" t="n">
        <v>30783245.12573484</v>
      </c>
      <c r="L36" t="n">
        <v>27708783.77814599</v>
      </c>
      <c r="M36" t="n">
        <v>30733792.30327408</v>
      </c>
    </row>
    <row r="37">
      <c r="A37" t="n">
        <v>34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46036823.46932472</v>
      </c>
      <c r="G37" t="n">
        <v>9.651134765423636</v>
      </c>
      <c r="H37" t="n">
        <v>37328554.7742463</v>
      </c>
      <c r="I37" t="n">
        <v>54745092.16440313</v>
      </c>
      <c r="J37" t="n">
        <v>38349497.81327268</v>
      </c>
      <c r="K37" t="n">
        <v>61944151.87152887</v>
      </c>
      <c r="L37" t="n">
        <v>39392616.60221189</v>
      </c>
      <c r="M37" t="n">
        <v>58564241.65763014</v>
      </c>
    </row>
    <row r="38">
      <c r="A38" t="n">
        <v>35</v>
      </c>
      <c r="B38" t="n">
        <v>9.973993837</v>
      </c>
      <c r="C38" t="n">
        <v>24012</v>
      </c>
      <c r="D38" t="n">
        <v>24010.88113458742</v>
      </c>
      <c r="E38" t="n">
        <v>0.999953403905856</v>
      </c>
      <c r="F38" t="n">
        <v>45995424.65058806</v>
      </c>
      <c r="G38" t="n">
        <v>9.481866193872117</v>
      </c>
      <c r="H38" t="n">
        <v>37447581.46558152</v>
      </c>
      <c r="I38" t="n">
        <v>54543267.83559459</v>
      </c>
      <c r="J38" t="n">
        <v>38423356.39923102</v>
      </c>
      <c r="K38" t="n">
        <v>61411921.17789268</v>
      </c>
      <c r="L38" t="n">
        <v>39445592.72366724</v>
      </c>
      <c r="M38" t="n">
        <v>58200715.58980991</v>
      </c>
    </row>
    <row r="39">
      <c r="A39" t="n">
        <v>36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32060047.62747818</v>
      </c>
      <c r="G39" t="n">
        <v>3.560933965314426</v>
      </c>
      <c r="H39" t="n">
        <v>29822479.97854915</v>
      </c>
      <c r="I39" t="n">
        <v>34297615.27640721</v>
      </c>
      <c r="J39" t="n">
        <v>29845761.44422977</v>
      </c>
      <c r="K39" t="n">
        <v>34611244.13074717</v>
      </c>
      <c r="L39" t="n">
        <v>29989986.5026982</v>
      </c>
      <c r="M39" t="n">
        <v>34494450.02964808</v>
      </c>
    </row>
    <row r="40">
      <c r="A40" t="n">
        <v>37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31536491.70888228</v>
      </c>
      <c r="G40" t="n">
        <v>3.413862394641239</v>
      </c>
      <c r="H40" t="n">
        <v>29426370.11873835</v>
      </c>
      <c r="I40" t="n">
        <v>33646613.29902621</v>
      </c>
      <c r="J40" t="n">
        <v>29445781.03125558</v>
      </c>
      <c r="K40" t="n">
        <v>33923445.47625913</v>
      </c>
      <c r="L40" t="n">
        <v>29576027.11319405</v>
      </c>
      <c r="M40" t="n">
        <v>33820864.92691511</v>
      </c>
    </row>
    <row r="41">
      <c r="A41" t="n">
        <v>38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9254889.71277483</v>
      </c>
      <c r="G41" t="n">
        <v>0.8050371490616356</v>
      </c>
      <c r="H41" t="n">
        <v>9108862.007544149</v>
      </c>
      <c r="I41" t="n">
        <v>9400917.418005511</v>
      </c>
      <c r="J41" t="n">
        <v>9109019.698351121</v>
      </c>
      <c r="K41" t="n">
        <v>9402463.713532871</v>
      </c>
      <c r="L41" t="n">
        <v>9109866.054092214</v>
      </c>
      <c r="M41" t="n">
        <v>9401931.045784136</v>
      </c>
    </row>
    <row r="42">
      <c r="A42" t="n">
        <v>39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10468036.52816641</v>
      </c>
      <c r="G42" t="n">
        <v>0.8823785399249428</v>
      </c>
      <c r="H42" t="n">
        <v>10286999.14739484</v>
      </c>
      <c r="I42" t="n">
        <v>10649073.90893797</v>
      </c>
      <c r="J42" t="n">
        <v>10287174.67528917</v>
      </c>
      <c r="K42" t="n">
        <v>10651309.90035479</v>
      </c>
      <c r="L42" t="n">
        <v>10288446.51249705</v>
      </c>
      <c r="M42" t="n">
        <v>10650538.74628629</v>
      </c>
    </row>
    <row r="43">
      <c r="A43" t="n">
        <v>40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52899703.00037351</v>
      </c>
      <c r="G43" t="n">
        <v>17.1043664768992</v>
      </c>
      <c r="H43" t="n">
        <v>35165637.10388871</v>
      </c>
      <c r="I43" t="n">
        <v>70633768.89685832</v>
      </c>
      <c r="J43" t="n">
        <v>40047203.15363844</v>
      </c>
      <c r="K43" t="n">
        <v>113933028.0457496</v>
      </c>
      <c r="L43" t="n">
        <v>41937393.09190881</v>
      </c>
      <c r="M43" t="n">
        <v>91598484.18181708</v>
      </c>
    </row>
    <row r="44">
      <c r="A44" t="n">
        <v>41</v>
      </c>
      <c r="B44" t="n">
        <v>11.67209064</v>
      </c>
      <c r="C44" t="n">
        <v>24142</v>
      </c>
      <c r="D44" t="n">
        <v>24141.79410363076</v>
      </c>
      <c r="E44" t="n">
        <v>0.9999914714452308</v>
      </c>
      <c r="F44" t="n">
        <v>53829178.88250045</v>
      </c>
      <c r="G44" t="n">
        <v>18.88702463408307</v>
      </c>
      <c r="H44" t="n">
        <v>33902753.70127699</v>
      </c>
      <c r="I44" t="n">
        <v>73755604.06372391</v>
      </c>
      <c r="J44" t="n">
        <v>40019396.55865665</v>
      </c>
      <c r="K44" t="n">
        <v>127469059.1934156</v>
      </c>
      <c r="L44" t="n">
        <v>42037759.29215299</v>
      </c>
      <c r="M44" t="n">
        <v>101477579.1334091</v>
      </c>
    </row>
    <row r="45">
      <c r="A45" t="n">
        <v>42</v>
      </c>
      <c r="B45" t="n">
        <v>3.912569618</v>
      </c>
      <c r="C45" t="n">
        <v>24784</v>
      </c>
      <c r="D45" t="n">
        <v>24288.59087088216</v>
      </c>
      <c r="E45" t="n">
        <v>0.9800109292641284</v>
      </c>
      <c r="F45" t="n">
        <v>18032526.69136693</v>
      </c>
      <c r="G45" t="n">
        <v>1.137848316240171</v>
      </c>
      <c r="H45" t="n">
        <v>17630375.79050667</v>
      </c>
      <c r="I45" t="n">
        <v>18434677.59222719</v>
      </c>
      <c r="J45" t="n">
        <v>17630518.24490311</v>
      </c>
      <c r="K45" t="n">
        <v>18444131.35587638</v>
      </c>
      <c r="L45" t="n">
        <v>17636371.27075773</v>
      </c>
      <c r="M45" t="n">
        <v>18440846.39452083</v>
      </c>
    </row>
    <row r="46">
      <c r="A46" t="n">
        <v>43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19474063.19623706</v>
      </c>
      <c r="G46" t="n">
        <v>1.285161318419856</v>
      </c>
      <c r="H46" t="n">
        <v>18983536.88038641</v>
      </c>
      <c r="I46" t="n">
        <v>19964589.51208772</v>
      </c>
      <c r="J46" t="n">
        <v>18983738.65574945</v>
      </c>
      <c r="K46" t="n">
        <v>19978573.83133344</v>
      </c>
      <c r="L46" t="n">
        <v>18992333.68339527</v>
      </c>
      <c r="M46" t="n">
        <v>19973699.09113553</v>
      </c>
    </row>
    <row r="47">
      <c r="A47" t="n">
        <v>44</v>
      </c>
      <c r="B47" t="n">
        <v>8.439671494000001</v>
      </c>
      <c r="C47" t="n">
        <v>23404</v>
      </c>
      <c r="D47" t="n">
        <v>23398.94190093981</v>
      </c>
      <c r="E47" t="n">
        <v>0.9997838788642888</v>
      </c>
      <c r="F47" t="n">
        <v>38917203.82925243</v>
      </c>
      <c r="G47" t="n">
        <v>5.270177815722382</v>
      </c>
      <c r="H47" t="n">
        <v>34897306.24546211</v>
      </c>
      <c r="I47" t="n">
        <v>42937101.41304275</v>
      </c>
      <c r="J47" t="n">
        <v>35029507.21341737</v>
      </c>
      <c r="K47" t="n">
        <v>44068081.38084103</v>
      </c>
      <c r="L47" t="n">
        <v>35405799.71915453</v>
      </c>
      <c r="M47" t="n">
        <v>43616187.85959356</v>
      </c>
    </row>
    <row r="48">
      <c r="A48" t="n">
        <v>45</v>
      </c>
      <c r="B48" t="n">
        <v>9.340527238</v>
      </c>
      <c r="C48" t="n">
        <v>26483</v>
      </c>
      <c r="D48" t="n">
        <v>26480.67497437918</v>
      </c>
      <c r="E48" t="n">
        <v>0.9999122068639952</v>
      </c>
      <c r="F48" t="n">
        <v>43073081.44734059</v>
      </c>
      <c r="G48" t="n">
        <v>7.023743113933101</v>
      </c>
      <c r="H48" t="n">
        <v>37143518.92589744</v>
      </c>
      <c r="I48" t="n">
        <v>49002643.96878375</v>
      </c>
      <c r="J48" t="n">
        <v>37528039.66640205</v>
      </c>
      <c r="K48" t="n">
        <v>51793407.30322346</v>
      </c>
      <c r="L48" t="n">
        <v>38184048.36727144</v>
      </c>
      <c r="M48" t="n">
        <v>50593566.1918758</v>
      </c>
    </row>
    <row r="49">
      <c r="A49" t="n">
        <v>46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35731268.78543372</v>
      </c>
      <c r="G49" t="n">
        <v>4.023635434463077</v>
      </c>
      <c r="H49" t="n">
        <v>32913436.42032958</v>
      </c>
      <c r="I49" t="n">
        <v>38549101.15053786</v>
      </c>
      <c r="J49" t="n">
        <v>32960272.35339377</v>
      </c>
      <c r="K49" t="n">
        <v>39064066.44932342</v>
      </c>
      <c r="L49" t="n">
        <v>33173607.51063153</v>
      </c>
      <c r="M49" t="n">
        <v>38867877.75012479</v>
      </c>
    </row>
    <row r="50">
      <c r="A50" t="n">
        <v>47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35949407.38778657</v>
      </c>
      <c r="G50" t="n">
        <v>4.882380154712283</v>
      </c>
      <c r="H50" t="n">
        <v>32509304.60684961</v>
      </c>
      <c r="I50" t="n">
        <v>39389510.16872354</v>
      </c>
      <c r="J50" t="n">
        <v>32593871.21470021</v>
      </c>
      <c r="K50" t="n">
        <v>40187731.65804107</v>
      </c>
      <c r="L50" t="n">
        <v>32889051.22563137</v>
      </c>
      <c r="M50" t="n">
        <v>39876036.9488266</v>
      </c>
    </row>
    <row r="51">
      <c r="A51" t="n">
        <v>48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3346508.69803108</v>
      </c>
      <c r="G51" t="n">
        <v>0.9166063887232092</v>
      </c>
      <c r="H51" t="n">
        <v>3286388.150230906</v>
      </c>
      <c r="I51" t="n">
        <v>3406629.245831254</v>
      </c>
      <c r="J51" t="n">
        <v>3286565.074389378</v>
      </c>
      <c r="K51" t="n">
        <v>3407200.469087396</v>
      </c>
      <c r="L51" t="n">
        <v>3286761.274794383</v>
      </c>
      <c r="M51" t="n">
        <v>3407003.95863456</v>
      </c>
    </row>
    <row r="52">
      <c r="A52" t="n">
        <v>49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3414899.503383836</v>
      </c>
      <c r="G52" t="n">
        <v>0.8004816198127408</v>
      </c>
      <c r="H52" t="n">
        <v>3361322.627884645</v>
      </c>
      <c r="I52" t="n">
        <v>3468476.378883027</v>
      </c>
      <c r="J52" t="n">
        <v>3361458.88950193</v>
      </c>
      <c r="K52" t="n">
        <v>3468921.497009266</v>
      </c>
      <c r="L52" t="n">
        <v>3361613.613613554</v>
      </c>
      <c r="M52" t="n">
        <v>3468768.45888373</v>
      </c>
    </row>
    <row r="53">
      <c r="A53" t="n">
        <v>50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5019446.457792315</v>
      </c>
      <c r="G53" t="n">
        <v>0.8552729909603531</v>
      </c>
      <c r="H53" t="n">
        <v>4935305.263030465</v>
      </c>
      <c r="I53" t="n">
        <v>5103587.652554165</v>
      </c>
      <c r="J53" t="n">
        <v>4935490.012396077</v>
      </c>
      <c r="K53" t="n">
        <v>5104373.643230956</v>
      </c>
      <c r="L53" t="n">
        <v>4935818.091419477</v>
      </c>
      <c r="M53" t="n">
        <v>5104103.218374465</v>
      </c>
    </row>
    <row r="54">
      <c r="A54" t="n">
        <v>51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5329421.116772774</v>
      </c>
      <c r="G54" t="n">
        <v>0.8611066761688886</v>
      </c>
      <c r="H54" t="n">
        <v>5239474.447560436</v>
      </c>
      <c r="I54" t="n">
        <v>5419367.785985111</v>
      </c>
      <c r="J54" t="n">
        <v>5239664.926052</v>
      </c>
      <c r="K54" t="n">
        <v>5420223.430978775</v>
      </c>
      <c r="L54" t="n">
        <v>5240032.499126728</v>
      </c>
      <c r="M54" t="n">
        <v>5419929.00324672</v>
      </c>
    </row>
    <row r="55">
      <c r="A55" t="n">
        <v>52</v>
      </c>
      <c r="B55" t="n">
        <v>0.381027732</v>
      </c>
      <c r="C55" t="n">
        <v>20070</v>
      </c>
      <c r="D55" t="n">
        <v>6358.999994053143</v>
      </c>
      <c r="E55" t="n">
        <v>0.3168410560066339</v>
      </c>
      <c r="F55" t="n">
        <v>1740622.04503036</v>
      </c>
      <c r="G55" t="n">
        <v>1.274057940582487</v>
      </c>
      <c r="H55" t="n">
        <v>1697156.838303142</v>
      </c>
      <c r="I55" t="n">
        <v>1784087.251757578</v>
      </c>
      <c r="J55" t="n">
        <v>1697373.658715016</v>
      </c>
      <c r="K55" t="n">
        <v>1784641.674131944</v>
      </c>
      <c r="L55" t="n">
        <v>1697518.583859896</v>
      </c>
      <c r="M55" t="n">
        <v>1784450.670416676</v>
      </c>
    </row>
    <row r="56">
      <c r="A56" t="n">
        <v>53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1645256.658884253</v>
      </c>
      <c r="G56" t="n">
        <v>1.264066371548494</v>
      </c>
      <c r="H56" t="n">
        <v>1604495.021047466</v>
      </c>
      <c r="I56" t="n">
        <v>1686018.296721041</v>
      </c>
      <c r="J56" t="n">
        <v>1604698.939882594</v>
      </c>
      <c r="K56" t="n">
        <v>1686533.175413042</v>
      </c>
      <c r="L56" t="n">
        <v>1604831.007501863</v>
      </c>
      <c r="M56" t="n">
        <v>1686355.806799353</v>
      </c>
    </row>
    <row r="57">
      <c r="A57" t="n">
        <v>54</v>
      </c>
      <c r="B57" t="n">
        <v>0.300477333</v>
      </c>
      <c r="C57" t="n">
        <v>21735</v>
      </c>
      <c r="D57" t="n">
        <v>5641.000004557591</v>
      </c>
      <c r="E57" t="n">
        <v>0.2595353119189137</v>
      </c>
      <c r="F57" t="n">
        <v>1369022.482546122</v>
      </c>
      <c r="G57" t="n">
        <v>1.353203607822664</v>
      </c>
      <c r="H57" t="n">
        <v>1332712.85296994</v>
      </c>
      <c r="I57" t="n">
        <v>1405332.112122304</v>
      </c>
      <c r="J57" t="n">
        <v>1332913.459834848</v>
      </c>
      <c r="K57" t="n">
        <v>1405820.620282332</v>
      </c>
      <c r="L57" t="n">
        <v>1333031.515441754</v>
      </c>
      <c r="M57" t="n">
        <v>1405652.273257473</v>
      </c>
    </row>
    <row r="58">
      <c r="A58" t="n">
        <v>55</v>
      </c>
      <c r="B58" t="n">
        <v>0.309396565</v>
      </c>
      <c r="C58" t="n">
        <v>28879</v>
      </c>
      <c r="D58" t="n">
        <v>7685.000007763258</v>
      </c>
      <c r="E58" t="n">
        <v>0.2661103226484039</v>
      </c>
      <c r="F58" t="n">
        <v>1410169.17765927</v>
      </c>
      <c r="G58" t="n">
        <v>1.159206148109639</v>
      </c>
      <c r="H58" t="n">
        <v>1378130.101495531</v>
      </c>
      <c r="I58" t="n">
        <v>1442208.253823009</v>
      </c>
      <c r="J58" t="n">
        <v>1378280.890588324</v>
      </c>
      <c r="K58" t="n">
        <v>1442577.510469181</v>
      </c>
      <c r="L58" t="n">
        <v>1378371.24824078</v>
      </c>
      <c r="M58" t="n">
        <v>1442450.376158292</v>
      </c>
    </row>
    <row r="59">
      <c r="A59" t="n">
        <v>56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46531027.39827123</v>
      </c>
      <c r="G59" t="n">
        <v>9.421980160751009</v>
      </c>
      <c r="H59" t="n">
        <v>37938262.72192487</v>
      </c>
      <c r="I59" t="n">
        <v>55123792.07461758</v>
      </c>
      <c r="J59" t="n">
        <v>38926552.42250706</v>
      </c>
      <c r="K59" t="n">
        <v>62083891.80037463</v>
      </c>
      <c r="L59" t="n">
        <v>39954666.30841766</v>
      </c>
      <c r="M59" t="n">
        <v>58826049.89402854</v>
      </c>
    </row>
    <row r="60">
      <c r="A60" t="n">
        <v>57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46050992.17446231</v>
      </c>
      <c r="G60" t="n">
        <v>8.352892031328087</v>
      </c>
      <c r="H60" t="n">
        <v>38511814.98600914</v>
      </c>
      <c r="I60" t="n">
        <v>53590169.36291548</v>
      </c>
      <c r="J60" t="n">
        <v>39226720.69218923</v>
      </c>
      <c r="K60" t="n">
        <v>58604690.51449109</v>
      </c>
      <c r="L60" t="n">
        <v>40113076.94439912</v>
      </c>
      <c r="M60" t="n">
        <v>56327636.68900384</v>
      </c>
    </row>
    <row r="61">
      <c r="A61" t="n">
        <v>58</v>
      </c>
      <c r="B61" t="n">
        <v>3.644694894</v>
      </c>
      <c r="C61" t="n">
        <v>25211</v>
      </c>
      <c r="D61" t="n">
        <v>24552.25217891836</v>
      </c>
      <c r="E61" t="n">
        <v>0.9738706191312664</v>
      </c>
      <c r="F61" t="n">
        <v>16796752.17659403</v>
      </c>
      <c r="G61" t="n">
        <v>1.056022616428562</v>
      </c>
      <c r="H61" t="n">
        <v>16449098.66137817</v>
      </c>
      <c r="I61" t="n">
        <v>17144405.69180988</v>
      </c>
      <c r="J61" t="n">
        <v>16449228.02252523</v>
      </c>
      <c r="K61" t="n">
        <v>17151536.39909698</v>
      </c>
      <c r="L61" t="n">
        <v>16453643.6983785</v>
      </c>
      <c r="M61" t="n">
        <v>17149063.44247649</v>
      </c>
    </row>
    <row r="62">
      <c r="A62" t="n">
        <v>59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17595859.19141616</v>
      </c>
      <c r="G62" t="n">
        <v>1.041739197034266</v>
      </c>
      <c r="H62" t="n">
        <v>17236591.98714286</v>
      </c>
      <c r="I62" t="n">
        <v>17955126.39568947</v>
      </c>
      <c r="J62" t="n">
        <v>17236703.36173777</v>
      </c>
      <c r="K62" t="n">
        <v>17962683.39838592</v>
      </c>
      <c r="L62" t="n">
        <v>17241403.37053128</v>
      </c>
      <c r="M62" t="n">
        <v>17960061.61636324</v>
      </c>
    </row>
    <row r="63">
      <c r="A63" t="n">
        <v>60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6037823.485078179</v>
      </c>
      <c r="G63" t="n">
        <v>0.7161033877750151</v>
      </c>
      <c r="H63" t="n">
        <v>5953080.407572669</v>
      </c>
      <c r="I63" t="n">
        <v>6122566.56258369</v>
      </c>
      <c r="J63" t="n">
        <v>5953214.617267507</v>
      </c>
      <c r="K63" t="n">
        <v>6123255.046649628</v>
      </c>
      <c r="L63" t="n">
        <v>5953529.74845526</v>
      </c>
      <c r="M63" t="n">
        <v>6123018.292574949</v>
      </c>
    </row>
    <row r="64">
      <c r="A64" t="n">
        <v>61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5821966.280527842</v>
      </c>
      <c r="G64" t="n">
        <v>0.7067799623245812</v>
      </c>
      <c r="H64" t="n">
        <v>5741316.719984909</v>
      </c>
      <c r="I64" t="n">
        <v>5902615.841070776</v>
      </c>
      <c r="J64" t="n">
        <v>5741446.764955205</v>
      </c>
      <c r="K64" t="n">
        <v>5903256.942201698</v>
      </c>
      <c r="L64" t="n">
        <v>5741735.268154823</v>
      </c>
      <c r="M64" t="n">
        <v>5903036.507837393</v>
      </c>
    </row>
    <row r="65">
      <c r="A65" t="n">
        <v>62</v>
      </c>
      <c r="B65" t="n">
        <v>0.491130065</v>
      </c>
      <c r="C65" t="n">
        <v>30768</v>
      </c>
      <c r="D65" t="n">
        <v>11939.99999420986</v>
      </c>
      <c r="E65" t="n">
        <v>0.3880655224327178</v>
      </c>
      <c r="F65" t="n">
        <v>2248552.226373024</v>
      </c>
      <c r="G65" t="n">
        <v>0.9314401485444576</v>
      </c>
      <c r="H65" t="n">
        <v>2207502.901010911</v>
      </c>
      <c r="I65" t="n">
        <v>2289601.551735137</v>
      </c>
      <c r="J65" t="n">
        <v>2207643.580154042</v>
      </c>
      <c r="K65" t="n">
        <v>2289987.699229439</v>
      </c>
      <c r="L65" t="n">
        <v>2207755.312432047</v>
      </c>
      <c r="M65" t="n">
        <v>2289854.877434711</v>
      </c>
    </row>
    <row r="66">
      <c r="A66" t="n">
        <v>63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2243057.054948182</v>
      </c>
      <c r="G66" t="n">
        <v>0.954137897810226</v>
      </c>
      <c r="H66" t="n">
        <v>2201110.185181619</v>
      </c>
      <c r="I66" t="n">
        <v>2285003.924714745</v>
      </c>
      <c r="J66" t="n">
        <v>2201257.570334699</v>
      </c>
      <c r="K66" t="n">
        <v>2285408.125789054</v>
      </c>
      <c r="L66" t="n">
        <v>2201374.359729296</v>
      </c>
      <c r="M66" t="n">
        <v>2285269.078721761</v>
      </c>
    </row>
    <row r="67">
      <c r="A67" t="n">
        <v>64</v>
      </c>
      <c r="B67" t="n">
        <v>0.164663363</v>
      </c>
      <c r="C67" t="n">
        <v>19332</v>
      </c>
      <c r="D67" t="n">
        <v>2935.000004671402</v>
      </c>
      <c r="E67" t="n">
        <v>0.1518208154702773</v>
      </c>
      <c r="F67" t="n">
        <v>742477.9531857216</v>
      </c>
      <c r="G67" t="n">
        <v>1.890633710389976</v>
      </c>
      <c r="H67" t="n">
        <v>714964.8833428465</v>
      </c>
      <c r="I67" t="n">
        <v>769991.0230285968</v>
      </c>
      <c r="J67" t="n">
        <v>715191.3624571402</v>
      </c>
      <c r="K67" t="n">
        <v>770501.1859988492</v>
      </c>
      <c r="L67" t="n">
        <v>715296.7653203808</v>
      </c>
      <c r="M67" t="n">
        <v>770324.9599694379</v>
      </c>
    </row>
    <row r="68">
      <c r="A68" t="n">
        <v>65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728622.4604232189</v>
      </c>
      <c r="G68" t="n">
        <v>1.439335037329728</v>
      </c>
      <c r="H68" t="n">
        <v>708067.6941378717</v>
      </c>
      <c r="I68" t="n">
        <v>749177.2267085661</v>
      </c>
      <c r="J68" t="n">
        <v>708196.4406452315</v>
      </c>
      <c r="K68" t="n">
        <v>749466.7050169579</v>
      </c>
      <c r="L68" t="n">
        <v>708256.4995417272</v>
      </c>
      <c r="M68" t="n">
        <v>749366.9203529768</v>
      </c>
    </row>
    <row r="69">
      <c r="A69" t="n">
        <v>66</v>
      </c>
      <c r="B69" t="n">
        <v>0.060327989</v>
      </c>
      <c r="C69" t="n">
        <v>27176</v>
      </c>
      <c r="D69" t="n">
        <v>1591.000010202589</v>
      </c>
      <c r="E69" t="n">
        <v>0.0585443041728947</v>
      </c>
      <c r="F69" t="n">
        <v>261152.2265430845</v>
      </c>
      <c r="G69" t="n">
        <v>2.672165661300336</v>
      </c>
      <c r="H69" t="n">
        <v>247474.77443614</v>
      </c>
      <c r="I69" t="n">
        <v>274829.678650029</v>
      </c>
      <c r="J69" t="n">
        <v>247636.2823321098</v>
      </c>
      <c r="K69" t="n">
        <v>275174.038545721</v>
      </c>
      <c r="L69" t="n">
        <v>247697.9749350476</v>
      </c>
      <c r="M69" t="n">
        <v>275054.7205384756</v>
      </c>
    </row>
    <row r="70">
      <c r="A70" t="n">
        <v>67</v>
      </c>
      <c r="B70" t="n">
        <v>0.061404418</v>
      </c>
      <c r="C70" t="n">
        <v>25337</v>
      </c>
      <c r="D70" t="n">
        <v>1508.999994745462</v>
      </c>
      <c r="E70" t="n">
        <v>0.0595571691496807</v>
      </c>
      <c r="F70" t="n">
        <v>266118.0684310353</v>
      </c>
      <c r="G70" t="n">
        <v>2.74066758410962</v>
      </c>
      <c r="H70" t="n">
        <v>251823.2442981918</v>
      </c>
      <c r="I70" t="n">
        <v>280412.8925638788</v>
      </c>
      <c r="J70" t="n">
        <v>251996.5033604136</v>
      </c>
      <c r="K70" t="n">
        <v>280782.5535365188</v>
      </c>
      <c r="L70" t="n">
        <v>252062.7508979492</v>
      </c>
      <c r="M70" t="n">
        <v>280654.4285159057</v>
      </c>
    </row>
    <row r="71">
      <c r="A71" t="n">
        <v>68</v>
      </c>
      <c r="B71" t="n">
        <v>0.022457158</v>
      </c>
      <c r="C71" t="n">
        <v>28955</v>
      </c>
      <c r="D71" t="n">
        <v>643.0000103454624</v>
      </c>
      <c r="E71" t="n">
        <v>0.0222068730908465</v>
      </c>
      <c r="F71" t="n">
        <v>86444.41124704164</v>
      </c>
      <c r="G71" t="n">
        <v>4.726384047519583</v>
      </c>
      <c r="H71" t="n">
        <v>78436.59646344263</v>
      </c>
      <c r="I71" t="n">
        <v>94452.22603064064</v>
      </c>
      <c r="J71" t="n">
        <v>78588.61843400575</v>
      </c>
      <c r="K71" t="n">
        <v>94771.09660010586</v>
      </c>
      <c r="L71" t="n">
        <v>78641.5833058087</v>
      </c>
      <c r="M71" t="n">
        <v>94659.8721728883</v>
      </c>
    </row>
    <row r="72">
      <c r="A72" t="n">
        <v>69</v>
      </c>
      <c r="B72" t="n">
        <v>0.021049788</v>
      </c>
      <c r="C72" t="n">
        <v>29381</v>
      </c>
      <c r="D72" t="n">
        <v>611.9999886148111</v>
      </c>
      <c r="E72" t="n">
        <v>0.0208297875707025</v>
      </c>
      <c r="F72" t="n">
        <v>79951.85400653176</v>
      </c>
      <c r="G72" t="n">
        <v>4.909745674102614</v>
      </c>
      <c r="H72" t="n">
        <v>72258.14730363266</v>
      </c>
      <c r="I72" t="n">
        <v>87645.56070943087</v>
      </c>
      <c r="J72" t="n">
        <v>72407.99088194186</v>
      </c>
      <c r="K72" t="n">
        <v>87959.70988214115</v>
      </c>
      <c r="L72" t="n">
        <v>72459.9849880742</v>
      </c>
      <c r="M72" t="n">
        <v>87850.082644084</v>
      </c>
    </row>
    <row r="73">
      <c r="A73" t="n">
        <v>70</v>
      </c>
      <c r="B73" t="n">
        <v>0.004045956</v>
      </c>
      <c r="C73" t="n">
        <v>27738</v>
      </c>
      <c r="D73" t="n">
        <v>112.0000012051763</v>
      </c>
      <c r="E73" t="n">
        <v>0.0040377821474214</v>
      </c>
      <c r="F73" t="n">
        <v>1508.834354258151</v>
      </c>
      <c r="G73" t="n">
        <v>116.8902727940718</v>
      </c>
      <c r="H73" t="n">
        <v>-1947.916087672032</v>
      </c>
      <c r="I73" t="n">
        <v>4965.584796188335</v>
      </c>
      <c r="J73" t="n">
        <v>4.61315333848198e-06</v>
      </c>
      <c r="K73" t="n">
        <v>5302.688593385555</v>
      </c>
      <c r="L73" t="n">
        <v>0</v>
      </c>
      <c r="M73" t="n">
        <v>5182.194132096382</v>
      </c>
    </row>
    <row r="74">
      <c r="A74" t="n">
        <v>71</v>
      </c>
      <c r="B74" t="n">
        <v>0.003941668</v>
      </c>
      <c r="C74" t="n">
        <v>31775</v>
      </c>
      <c r="D74" t="n">
        <v>124.9999846392238</v>
      </c>
      <c r="E74" t="n">
        <v>0.0039339098234216</v>
      </c>
      <c r="F74" t="n">
        <v>1027.727175976232</v>
      </c>
      <c r="G74" t="n">
        <v>158.2541108828027</v>
      </c>
      <c r="H74" t="n">
        <v>-2159.998436839788</v>
      </c>
      <c r="I74" t="n">
        <v>4215.452788792251</v>
      </c>
      <c r="J74" t="n">
        <v>4.61315333848198e-06</v>
      </c>
      <c r="K74" t="n">
        <v>4509.130316334367</v>
      </c>
      <c r="L74" t="n">
        <v>0</v>
      </c>
      <c r="M74" t="n">
        <v>4404.385775807034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R3 linear approximation per training well — gamma-based M_r3 estimate</t>
        </is>
      </c>
    </row>
    <row r="2">
      <c r="A2" s="1" t="inlineStr">
        <is>
          <t>Conc_pgmL</t>
        </is>
      </c>
      <c r="B2" s="1" t="inlineStr">
        <is>
          <t>P_specific</t>
        </is>
      </c>
      <c r="C2" s="1" t="inlineStr">
        <is>
          <t>M_r3</t>
        </is>
      </c>
      <c r="D2" s="1" t="inlineStr">
        <is>
          <t>CV_r3_pct</t>
        </is>
      </c>
      <c r="E2" s="1" t="inlineStr">
        <is>
          <t>R3_valid</t>
        </is>
      </c>
    </row>
    <row r="3">
      <c r="A3" t="n">
        <v>0</v>
      </c>
      <c r="B3" t="n">
        <v>1e-12</v>
      </c>
      <c r="C3" t="n">
        <v>4.613255391624295e-06</v>
      </c>
      <c r="D3" t="n">
        <v>31365961396.48196</v>
      </c>
      <c r="E3" t="b">
        <v>1</v>
      </c>
    </row>
    <row r="4">
      <c r="A4" t="n">
        <v>0</v>
      </c>
      <c r="B4" t="n">
        <v>1e-12</v>
      </c>
      <c r="C4" t="n">
        <v>4.613255391624295e-06</v>
      </c>
      <c r="D4" t="n">
        <v>33250686184.88422</v>
      </c>
      <c r="E4" t="b">
        <v>1</v>
      </c>
    </row>
    <row r="5">
      <c r="A5" t="n">
        <v>0.0328</v>
      </c>
      <c r="B5" t="n">
        <v>0.0215456135241176</v>
      </c>
      <c r="C5" t="n">
        <v>99395.41775598888</v>
      </c>
      <c r="D5" t="n">
        <v>4.137864971120066</v>
      </c>
      <c r="E5" t="b">
        <v>1</v>
      </c>
    </row>
    <row r="6">
      <c r="A6" t="n">
        <v>0.0328</v>
      </c>
      <c r="B6" t="n">
        <v>0.0228167777907406</v>
      </c>
      <c r="C6" t="n">
        <v>105259.6231626276</v>
      </c>
      <c r="D6" t="n">
        <v>4.05781669576276</v>
      </c>
      <c r="E6" t="b">
        <v>1</v>
      </c>
    </row>
    <row r="7">
      <c r="A7" t="n">
        <v>0.0984</v>
      </c>
      <c r="B7" t="n">
        <v>0.0599113587817064</v>
      </c>
      <c r="C7" t="n">
        <v>276386.3989192446</v>
      </c>
      <c r="D7" t="n">
        <v>2.47100266640157</v>
      </c>
      <c r="E7" t="b">
        <v>1</v>
      </c>
    </row>
    <row r="8">
      <c r="A8" t="n">
        <v>0.0984</v>
      </c>
      <c r="B8" t="n">
        <v>0.0629148343097946</v>
      </c>
      <c r="C8" t="n">
        <v>290242.1985928095</v>
      </c>
      <c r="D8" t="n">
        <v>2.170411218301673</v>
      </c>
      <c r="E8" t="b">
        <v>1</v>
      </c>
    </row>
    <row r="9">
      <c r="A9" t="n">
        <v>0.296</v>
      </c>
      <c r="B9" t="n">
        <v>0.1622043888259011</v>
      </c>
      <c r="C9" t="n">
        <v>748290.2712962119</v>
      </c>
      <c r="D9" t="n">
        <v>1.510068936628116</v>
      </c>
      <c r="E9" t="b">
        <v>1</v>
      </c>
    </row>
    <row r="10">
      <c r="A10" t="n">
        <v>0.296</v>
      </c>
      <c r="B10" t="n">
        <v>0.1757497625873482</v>
      </c>
      <c r="C10" t="n">
        <v>810778.5398327742</v>
      </c>
      <c r="D10" t="n">
        <v>1.158155496189594</v>
      </c>
      <c r="E10" t="b">
        <v>1</v>
      </c>
    </row>
    <row r="11">
      <c r="A11" t="n">
        <v>0.888</v>
      </c>
      <c r="B11" t="n">
        <v>0.4165993509362544</v>
      </c>
      <c r="C11" t="n">
        <v>1921879.201853857</v>
      </c>
      <c r="D11" t="n">
        <v>0.6674809841406365</v>
      </c>
      <c r="E11" t="b">
        <v>0</v>
      </c>
    </row>
    <row r="12">
      <c r="A12" t="n">
        <v>0.888</v>
      </c>
      <c r="B12" t="n">
        <v>0.4394748175849425</v>
      </c>
      <c r="C12" t="n">
        <v>2027409.57170684</v>
      </c>
      <c r="D12" t="n">
        <v>0.6493065276464991</v>
      </c>
      <c r="E12" t="b">
        <v>0</v>
      </c>
    </row>
    <row r="13">
      <c r="A13" t="n">
        <v>2.664</v>
      </c>
      <c r="B13" t="n">
        <v>0.806093871162752</v>
      </c>
      <c r="C13" t="n">
        <v>3718716.897296865</v>
      </c>
      <c r="D13" t="n">
        <v>0.2787648964321563</v>
      </c>
      <c r="E13" t="b">
        <v>0</v>
      </c>
    </row>
    <row r="14">
      <c r="A14" t="n">
        <v>2.664</v>
      </c>
      <c r="B14" t="n">
        <v>0.824844496640454</v>
      </c>
      <c r="C14" t="n">
        <v>3805218.321378202</v>
      </c>
      <c r="D14" t="n">
        <v>0.2660093196317993</v>
      </c>
      <c r="E14" t="b">
        <v>0</v>
      </c>
    </row>
    <row r="15">
      <c r="A15" t="n">
        <v>8</v>
      </c>
      <c r="B15" t="n">
        <v>0.9884073164579366</v>
      </c>
      <c r="C15" t="n">
        <v>4559775.381770477</v>
      </c>
      <c r="D15" t="n">
        <v>0.0715633101999392</v>
      </c>
      <c r="E15" t="b">
        <v>0</v>
      </c>
    </row>
    <row r="16">
      <c r="A16" t="n">
        <v>8</v>
      </c>
      <c r="B16" t="n">
        <v>0.992363234344773</v>
      </c>
      <c r="C16" t="n">
        <v>4578025.041290748</v>
      </c>
      <c r="D16" t="n">
        <v>0.0581216653015005</v>
      </c>
      <c r="E16" t="b">
        <v>0</v>
      </c>
    </row>
    <row r="17">
      <c r="A17" t="n">
        <v>24</v>
      </c>
      <c r="B17" t="n">
        <v>0.9999982782702588</v>
      </c>
      <c r="C17" t="n">
        <v>4613247.448845283</v>
      </c>
      <c r="D17" t="n">
        <v>0.0007811668200994</v>
      </c>
      <c r="E17" t="b">
        <v>0</v>
      </c>
    </row>
    <row r="18">
      <c r="A18" t="n">
        <v>24</v>
      </c>
      <c r="B18" t="n">
        <v>0.9999957762242776</v>
      </c>
      <c r="C18" t="n">
        <v>4613235.906268171</v>
      </c>
      <c r="D18" t="n">
        <v>0.0012141279346048</v>
      </c>
      <c r="E1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(R2 and R3 formulations)</t>
        </is>
      </c>
    </row>
    <row r="2">
      <c r="A2" s="1" t="inlineStr">
        <is>
          <t>Well</t>
        </is>
      </c>
      <c r="B2" s="1" t="inlineStr">
        <is>
          <t>Conc (pg/mL)</t>
        </is>
      </c>
      <c r="C2" s="1" t="inlineStr">
        <is>
          <t>n</t>
        </is>
      </c>
      <c r="D2" s="1" t="inlineStr">
        <is>
          <t>R2_LoB</t>
        </is>
      </c>
      <c r="E2" s="1" t="inlineStr">
        <is>
          <t>R2_LoD</t>
        </is>
      </c>
      <c r="F2" s="1" t="inlineStr">
        <is>
          <t>R2_LoQ_low</t>
        </is>
      </c>
      <c r="G2" s="1" t="inlineStr">
        <is>
          <t>R2_LoQ_high</t>
        </is>
      </c>
      <c r="H2" s="1" t="inlineStr">
        <is>
          <t>R3_LoB</t>
        </is>
      </c>
      <c r="I2" s="1" t="inlineStr">
        <is>
          <t>R3_LoD</t>
        </is>
      </c>
      <c r="J2" s="1" t="inlineStr">
        <is>
          <t>R3_LoQ_low</t>
        </is>
      </c>
    </row>
    <row r="3">
      <c r="A3" t="n">
        <v>1</v>
      </c>
      <c r="B3" t="n">
        <v>0</v>
      </c>
      <c r="C3" t="n">
        <v>29568</v>
      </c>
      <c r="D3" t="n">
        <v>2701.26299896267</v>
      </c>
      <c r="E3" t="n">
        <v>5853.494238763038</v>
      </c>
      <c r="F3" t="n">
        <v>10378.9912709319</v>
      </c>
      <c r="G3" t="n">
        <v>55589663.31359267</v>
      </c>
      <c r="H3" t="n">
        <v>2693.847764348127</v>
      </c>
      <c r="I3" t="n">
        <v>5387.695528696253</v>
      </c>
      <c r="J3" t="n">
        <v>10352.98862158629</v>
      </c>
    </row>
    <row r="4">
      <c r="A4" t="n">
        <v>2</v>
      </c>
      <c r="B4" t="n">
        <v>0</v>
      </c>
      <c r="C4" t="n">
        <v>33529</v>
      </c>
      <c r="D4" t="n">
        <v>2561.254286238433</v>
      </c>
      <c r="E4" t="n">
        <v>5349.1449131893</v>
      </c>
      <c r="F4" t="n">
        <v>9609.018465785206</v>
      </c>
      <c r="G4" t="n">
        <v>56284188.9164738</v>
      </c>
      <c r="H4" t="n">
        <v>2529.727392598303</v>
      </c>
      <c r="I4" t="n">
        <v>5059.454785196608</v>
      </c>
      <c r="J4" t="n">
        <v>9586.861009190659</v>
      </c>
    </row>
    <row r="5">
      <c r="A5" t="n">
        <v>3</v>
      </c>
      <c r="B5" t="n">
        <v>0.0328</v>
      </c>
      <c r="C5" t="n">
        <v>31110</v>
      </c>
      <c r="D5" t="n">
        <v>2608.455807981186</v>
      </c>
      <c r="E5" t="n">
        <v>5668.546712980773</v>
      </c>
      <c r="F5" t="n">
        <v>10059.44027325704</v>
      </c>
      <c r="G5" t="n">
        <v>55870713.95510441</v>
      </c>
      <c r="H5" t="n">
        <v>2626.237620775931</v>
      </c>
      <c r="I5" t="n">
        <v>5252.475241551862</v>
      </c>
      <c r="J5" t="n">
        <v>10035.07273680425</v>
      </c>
    </row>
    <row r="6">
      <c r="A6" t="n">
        <v>4</v>
      </c>
      <c r="B6" t="n">
        <v>0.0328</v>
      </c>
      <c r="C6" t="n">
        <v>30257</v>
      </c>
      <c r="D6" t="n">
        <v>2707.482741040725</v>
      </c>
      <c r="E6" t="n">
        <v>5821.094993553303</v>
      </c>
      <c r="F6" t="n">
        <v>10232.77964046084</v>
      </c>
      <c r="G6" t="n">
        <v>55717046.59863082</v>
      </c>
      <c r="H6" t="n">
        <v>2662.999538784118</v>
      </c>
      <c r="I6" t="n">
        <v>5325.99907756824</v>
      </c>
      <c r="J6" t="n">
        <v>10207.5320786284</v>
      </c>
    </row>
    <row r="7">
      <c r="A7" t="n">
        <v>5</v>
      </c>
      <c r="B7" t="n">
        <v>0.0984</v>
      </c>
      <c r="C7" t="n">
        <v>27297</v>
      </c>
      <c r="D7" t="n">
        <v>2829.303768446247</v>
      </c>
      <c r="E7" t="n">
        <v>5948.294092191311</v>
      </c>
      <c r="F7" t="n">
        <v>10905.13895835222</v>
      </c>
      <c r="G7" t="n">
        <v>55147274.22544287</v>
      </c>
      <c r="H7" t="n">
        <v>2803.667865618317</v>
      </c>
      <c r="I7" t="n">
        <v>5607.335731236637</v>
      </c>
      <c r="J7" t="n">
        <v>10876.32197911385</v>
      </c>
    </row>
    <row r="8">
      <c r="A8" t="n">
        <v>6</v>
      </c>
      <c r="B8" t="n">
        <v>0.0984</v>
      </c>
      <c r="C8" t="n">
        <v>33491</v>
      </c>
      <c r="D8" t="n">
        <v>2583.674290102529</v>
      </c>
      <c r="E8" t="n">
        <v>5522.598482578126</v>
      </c>
      <c r="F8" t="n">
        <v>9615.66553218921</v>
      </c>
      <c r="G8" t="n">
        <v>56277931.79245336</v>
      </c>
      <c r="H8" t="n">
        <v>2531.162142059462</v>
      </c>
      <c r="I8" t="n">
        <v>5062.32428411892</v>
      </c>
      <c r="J8" t="n">
        <v>9593.47626345438</v>
      </c>
    </row>
    <row r="9">
      <c r="A9" t="n">
        <v>7</v>
      </c>
      <c r="B9" t="n">
        <v>0.296</v>
      </c>
      <c r="C9" t="n">
        <v>23171</v>
      </c>
      <c r="D9" t="n">
        <v>3196.43635041882</v>
      </c>
      <c r="E9" t="n">
        <v>6836.435427164475</v>
      </c>
      <c r="F9" t="n">
        <v>12082.92276971725</v>
      </c>
      <c r="G9" t="n">
        <v>54237862.87100397</v>
      </c>
      <c r="H9" t="n">
        <v>3043.067846481089</v>
      </c>
      <c r="I9" t="n">
        <v>6086.135692962176</v>
      </c>
      <c r="J9" t="n">
        <v>12047.25133475439</v>
      </c>
    </row>
    <row r="10">
      <c r="A10" t="n">
        <v>8</v>
      </c>
      <c r="B10" t="n">
        <v>0.296</v>
      </c>
      <c r="C10" t="n">
        <v>35706</v>
      </c>
      <c r="D10" t="n">
        <v>2524.296704995831</v>
      </c>
      <c r="E10" t="n">
        <v>5359.607217348491</v>
      </c>
      <c r="F10" t="n">
        <v>9248.34903628499</v>
      </c>
      <c r="G10" t="n">
        <v>56631089.9315818</v>
      </c>
      <c r="H10" t="n">
        <v>2451.395720104811</v>
      </c>
      <c r="I10" t="n">
        <v>4902.791440209618</v>
      </c>
      <c r="J10" t="n">
        <v>9227.881760972068</v>
      </c>
    </row>
    <row r="11">
      <c r="A11" t="n">
        <v>9</v>
      </c>
      <c r="B11" t="n">
        <v>0.888</v>
      </c>
      <c r="C11" t="n">
        <v>31713</v>
      </c>
      <c r="D11" t="n">
        <v>2670.119783215604</v>
      </c>
      <c r="E11" t="n">
        <v>5702.973245922924</v>
      </c>
      <c r="F11" t="n">
        <v>9941.707584415351</v>
      </c>
      <c r="G11" t="n">
        <v>55976773.99094353</v>
      </c>
      <c r="H11" t="n">
        <v>2601.149777114228</v>
      </c>
      <c r="I11" t="n">
        <v>5202.299554228456</v>
      </c>
      <c r="J11" t="n">
        <v>9917.928401295192</v>
      </c>
    </row>
    <row r="12">
      <c r="A12" t="n">
        <v>10</v>
      </c>
      <c r="B12" t="n">
        <v>0.888</v>
      </c>
      <c r="C12" t="n">
        <v>30509</v>
      </c>
      <c r="D12" t="n">
        <v>2694.920014803064</v>
      </c>
      <c r="E12" t="n">
        <v>5793.688168033835</v>
      </c>
      <c r="F12" t="n">
        <v>10180.71171505606</v>
      </c>
      <c r="G12" t="n">
        <v>55762899.31131759</v>
      </c>
      <c r="H12" t="n">
        <v>2651.978735343093</v>
      </c>
      <c r="I12" t="n">
        <v>5303.957470686189</v>
      </c>
      <c r="J12" t="n">
        <v>10155.73022328968</v>
      </c>
    </row>
    <row r="13">
      <c r="A13" t="n">
        <v>11</v>
      </c>
      <c r="B13" t="n">
        <v>2.664</v>
      </c>
      <c r="C13" t="n">
        <v>31098</v>
      </c>
      <c r="D13" t="n">
        <v>2616.098897210277</v>
      </c>
      <c r="E13" t="n">
        <v>5677.373157009905</v>
      </c>
      <c r="F13" t="n">
        <v>10061.82259040306</v>
      </c>
      <c r="G13" t="n">
        <v>55868582.09909897</v>
      </c>
      <c r="H13" t="n">
        <v>2626.744274126991</v>
      </c>
      <c r="I13" t="n">
        <v>5253.488548253978</v>
      </c>
      <c r="J13" t="n">
        <v>10037.44307050854</v>
      </c>
    </row>
    <row r="14">
      <c r="A14" t="n">
        <v>12</v>
      </c>
      <c r="B14" t="n">
        <v>2.664</v>
      </c>
      <c r="C14" t="n">
        <v>30145</v>
      </c>
      <c r="D14" t="n">
        <v>2781.443469272219</v>
      </c>
      <c r="E14" t="n">
        <v>5906.649017804092</v>
      </c>
      <c r="F14" t="n">
        <v>10256.15885376707</v>
      </c>
      <c r="G14" t="n">
        <v>55696542.4784701</v>
      </c>
      <c r="H14" t="n">
        <v>2667.941974155964</v>
      </c>
      <c r="I14" t="n">
        <v>5335.883948311933</v>
      </c>
      <c r="J14" t="n">
        <v>10230.79134008712</v>
      </c>
    </row>
    <row r="15">
      <c r="A15" t="n">
        <v>13</v>
      </c>
      <c r="B15" t="n">
        <v>8</v>
      </c>
      <c r="C15" t="n">
        <v>22988</v>
      </c>
      <c r="D15" t="n">
        <v>3157.246781064177</v>
      </c>
      <c r="E15" t="n">
        <v>6591.769715534965</v>
      </c>
      <c r="F15" t="n">
        <v>12143.52688255139</v>
      </c>
      <c r="G15" t="n">
        <v>54193782.31445217</v>
      </c>
      <c r="H15" t="n">
        <v>3055.156273430573</v>
      </c>
      <c r="I15" t="n">
        <v>6110.312546861144</v>
      </c>
      <c r="J15" t="n">
        <v>12107.48188223652</v>
      </c>
    </row>
    <row r="16">
      <c r="A16" t="n">
        <v>14</v>
      </c>
      <c r="B16" t="n">
        <v>8</v>
      </c>
      <c r="C16" t="n">
        <v>22866</v>
      </c>
      <c r="D16" t="n">
        <v>3063.225625850177</v>
      </c>
      <c r="E16" t="n">
        <v>6718.753487896955</v>
      </c>
      <c r="F16" t="n">
        <v>12184.39495367838</v>
      </c>
      <c r="G16" t="n">
        <v>54164195.77008808</v>
      </c>
      <c r="H16" t="n">
        <v>3063.295721072496</v>
      </c>
      <c r="I16" t="n">
        <v>6126.591442144992</v>
      </c>
      <c r="J16" t="n">
        <v>12148.09688405139</v>
      </c>
    </row>
    <row r="17">
      <c r="A17" t="n">
        <v>15</v>
      </c>
      <c r="B17" t="n">
        <v>24</v>
      </c>
      <c r="C17" t="n">
        <v>28320</v>
      </c>
      <c r="D17" t="n">
        <v>2760.223162411009</v>
      </c>
      <c r="E17" t="n">
        <v>5991.402378984619</v>
      </c>
      <c r="F17" t="n">
        <v>10659.20285029993</v>
      </c>
      <c r="G17" t="n">
        <v>55351027.90592658</v>
      </c>
      <c r="H17" t="n">
        <v>2752.563833810761</v>
      </c>
      <c r="I17" t="n">
        <v>5505.127667621527</v>
      </c>
      <c r="J17" t="n">
        <v>10631.72031650358</v>
      </c>
    </row>
    <row r="18">
      <c r="A18" t="n">
        <v>16</v>
      </c>
      <c r="B18" t="n">
        <v>24</v>
      </c>
      <c r="C18" t="n">
        <v>28760</v>
      </c>
      <c r="D18" t="n">
        <v>2777.061251915209</v>
      </c>
      <c r="E18" t="n">
        <v>5982.581085389858</v>
      </c>
      <c r="F18" t="n">
        <v>10558.04102175932</v>
      </c>
      <c r="G18" t="n">
        <v>55436365.14834657</v>
      </c>
      <c r="H18" t="n">
        <v>2731.426905192325</v>
      </c>
      <c r="I18" t="n">
        <v>5462.85381038465</v>
      </c>
      <c r="J18" t="n">
        <v>10531.09772924071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LOO per-fold logL: positive Diff = 4PL better, negative = TCS better</t>
        </is>
      </c>
    </row>
    <row r="2">
      <c r="A2" s="1" t="inlineStr">
        <is>
          <t>Fold</t>
        </is>
      </c>
      <c r="B2" s="1" t="inlineStr">
        <is>
          <t>4PL_logL</t>
        </is>
      </c>
      <c r="C2" s="1" t="inlineStr">
        <is>
          <t>TCS_logL</t>
        </is>
      </c>
      <c r="D2" s="1" t="inlineStr">
        <is>
          <t>Diff(4PL-TCS)</t>
        </is>
      </c>
    </row>
    <row r="3">
      <c r="A3" t="n">
        <v>1</v>
      </c>
      <c r="B3" t="n">
        <v>-588.6824</v>
      </c>
      <c r="C3" t="n">
        <v>-593.2918</v>
      </c>
      <c r="D3" t="n">
        <v>4.6093</v>
      </c>
    </row>
    <row r="4">
      <c r="A4" t="n">
        <v>2</v>
      </c>
      <c r="B4" t="n">
        <v>-820.5875</v>
      </c>
      <c r="C4" t="n">
        <v>-817.1996</v>
      </c>
      <c r="D4" t="n">
        <v>-3.3879</v>
      </c>
    </row>
    <row r="5">
      <c r="A5" t="n">
        <v>3</v>
      </c>
      <c r="B5" t="n">
        <v>-3658.4051</v>
      </c>
      <c r="C5" t="n">
        <v>-3658.2192</v>
      </c>
      <c r="D5" t="n">
        <v>-0.1859</v>
      </c>
    </row>
    <row r="6">
      <c r="A6" t="n">
        <v>4</v>
      </c>
      <c r="B6" t="n">
        <v>-3700.9755</v>
      </c>
      <c r="C6" t="n">
        <v>-3700.2936</v>
      </c>
      <c r="D6" t="n">
        <v>-0.6819</v>
      </c>
    </row>
    <row r="7">
      <c r="A7" t="n">
        <v>5</v>
      </c>
      <c r="B7" t="n">
        <v>-6448.4359</v>
      </c>
      <c r="C7" t="n">
        <v>-6448.2228</v>
      </c>
      <c r="D7" t="n">
        <v>-0.2131</v>
      </c>
    </row>
    <row r="8">
      <c r="A8" t="n">
        <v>6</v>
      </c>
      <c r="B8" t="n">
        <v>-8180.796</v>
      </c>
      <c r="C8" t="n">
        <v>-8181.5184</v>
      </c>
      <c r="D8" t="n">
        <v>0.7224</v>
      </c>
    </row>
    <row r="9">
      <c r="A9" t="n">
        <v>7</v>
      </c>
      <c r="B9" t="n">
        <v>-10400.9086</v>
      </c>
      <c r="C9" t="n">
        <v>-10394.1582</v>
      </c>
      <c r="D9" t="n">
        <v>-6.7504</v>
      </c>
    </row>
    <row r="10">
      <c r="A10" t="n">
        <v>8</v>
      </c>
      <c r="B10" t="n">
        <v>-16769.0267</v>
      </c>
      <c r="C10" t="n">
        <v>-16772.4434</v>
      </c>
      <c r="D10" t="n">
        <v>3.4168</v>
      </c>
    </row>
    <row r="11">
      <c r="A11" t="n">
        <v>9</v>
      </c>
      <c r="B11" t="n">
        <v>-21588.0014</v>
      </c>
      <c r="C11" t="n">
        <v>-21571.4568</v>
      </c>
      <c r="D11" t="n">
        <v>-16.5446</v>
      </c>
    </row>
    <row r="12">
      <c r="A12" t="n">
        <v>10</v>
      </c>
      <c r="B12" t="n">
        <v>-20942.9045</v>
      </c>
      <c r="C12" t="n">
        <v>-20950.9438</v>
      </c>
      <c r="D12" t="n">
        <v>8.039300000000001</v>
      </c>
    </row>
    <row r="13">
      <c r="A13" t="n">
        <v>11</v>
      </c>
      <c r="B13" t="n">
        <v>-15269.7034</v>
      </c>
      <c r="C13" t="n">
        <v>-15269.4476</v>
      </c>
      <c r="D13" t="n">
        <v>-0.2558</v>
      </c>
    </row>
    <row r="14">
      <c r="A14" t="n">
        <v>12</v>
      </c>
      <c r="B14" t="n">
        <v>-13996.5545</v>
      </c>
      <c r="C14" t="n">
        <v>-13982.7858</v>
      </c>
      <c r="D14" t="n">
        <v>-13.7687</v>
      </c>
    </row>
    <row r="15">
      <c r="A15" t="n">
        <v>13</v>
      </c>
      <c r="B15" t="n">
        <v>-1470.6165</v>
      </c>
      <c r="C15" t="n">
        <v>-1488.1464</v>
      </c>
      <c r="D15" t="n">
        <v>17.5299</v>
      </c>
    </row>
    <row r="16">
      <c r="A16" t="n">
        <v>14</v>
      </c>
      <c r="B16" t="n">
        <v>-1029.0191</v>
      </c>
      <c r="C16" t="n">
        <v>-1023.9963</v>
      </c>
      <c r="D16" t="n">
        <v>-5.0228</v>
      </c>
    </row>
    <row r="17">
      <c r="A17" t="n">
        <v>15</v>
      </c>
      <c r="B17" t="n">
        <v>-0.7753</v>
      </c>
      <c r="C17" t="n">
        <v>-0.74</v>
      </c>
      <c r="D17" t="n">
        <v>-0.0354</v>
      </c>
    </row>
    <row r="18">
      <c r="A18" t="n">
        <v>16</v>
      </c>
      <c r="B18" t="n">
        <v>-1.636</v>
      </c>
      <c r="C18" t="n">
        <v>-1.8316</v>
      </c>
      <c r="D18" t="n">
        <v>0.1956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Manufacturer concentration -&gt; TCS predicted CV (typical n=mean(n_obs)=29408)</t>
        </is>
      </c>
    </row>
    <row r="2">
      <c r="A2" s="1" t="inlineStr">
        <is>
          <t>Conc (pg/mL)</t>
        </is>
      </c>
      <c r="B2" s="1" t="inlineStr">
        <is>
          <t>M (molecules)</t>
        </is>
      </c>
      <c r="C2" s="1" t="inlineStr">
        <is>
          <t>P_pos</t>
        </is>
      </c>
      <c r="D2" s="1" t="inlineStr">
        <is>
          <t>CV (%)</t>
        </is>
      </c>
      <c r="E2" s="1" t="inlineStr">
        <is>
          <t>Note</t>
        </is>
      </c>
    </row>
    <row r="3">
      <c r="A3" t="n">
        <v>0</v>
      </c>
      <c r="B3" t="n">
        <v>0</v>
      </c>
      <c r="C3" t="n">
        <v>0.003711984493444581</v>
      </c>
      <c r="E3" t="inlineStr">
        <is>
          <t>Blank (background only)</t>
        </is>
      </c>
    </row>
    <row r="4">
      <c r="A4" t="n">
        <v>0.0055</v>
      </c>
      <c r="B4" t="n">
        <v>15923.55769230769</v>
      </c>
      <c r="C4" t="n">
        <v>0.00714494022436581</v>
      </c>
      <c r="D4" t="n">
        <v>14.38487573176396</v>
      </c>
      <c r="E4" t="inlineStr">
        <is>
          <t>Manufacturer LOD</t>
        </is>
      </c>
    </row>
    <row r="5">
      <c r="A5" t="n">
        <v>0.01</v>
      </c>
      <c r="B5" t="n">
        <v>28951.92307692307</v>
      </c>
      <c r="C5" t="n">
        <v>0.009944921846721353</v>
      </c>
      <c r="D5" t="n">
        <v>9.347240998477309</v>
      </c>
      <c r="E5" t="inlineStr">
        <is>
          <t>Analytical LLOQ</t>
        </is>
      </c>
    </row>
    <row r="6">
      <c r="A6" t="n">
        <v>0.04</v>
      </c>
      <c r="B6" t="n">
        <v>115807.6923076923</v>
      </c>
      <c r="C6" t="n">
        <v>0.02841074267282615</v>
      </c>
      <c r="D6" t="n">
        <v>3.987056413381473</v>
      </c>
      <c r="E6" t="inlineStr">
        <is>
          <t>Functional LLOQ</t>
        </is>
      </c>
    </row>
    <row r="7">
      <c r="A7" t="n">
        <v>0.607</v>
      </c>
      <c r="B7" t="n">
        <v>1757381.730769231</v>
      </c>
      <c r="C7" t="n">
        <v>0.3193184295032698</v>
      </c>
      <c r="D7" t="n">
        <v>1.052358554872003</v>
      </c>
      <c r="E7" t="inlineStr">
        <is>
          <t>Plasma lower</t>
        </is>
      </c>
    </row>
    <row r="8">
      <c r="A8" t="n">
        <v>1.79</v>
      </c>
      <c r="B8" t="n">
        <v>5182394.230769231</v>
      </c>
      <c r="C8" t="n">
        <v>0.6760250952972217</v>
      </c>
      <c r="D8" t="n">
        <v>0.7526362353560315</v>
      </c>
      <c r="E8" t="inlineStr">
        <is>
          <t>Plasma mean</t>
        </is>
      </c>
    </row>
    <row r="9">
      <c r="A9" t="n">
        <v>4.64</v>
      </c>
      <c r="B9" t="n">
        <v>13433692.30769231</v>
      </c>
      <c r="C9" t="n">
        <v>0.9458336608219731</v>
      </c>
      <c r="D9" t="n">
        <v>0.8399183908980873</v>
      </c>
      <c r="E9" t="inlineStr">
        <is>
          <t>Plasma upper</t>
        </is>
      </c>
    </row>
    <row r="10">
      <c r="A10" t="n">
        <v>24</v>
      </c>
      <c r="B10" t="n">
        <v>69484615.38461538</v>
      </c>
      <c r="C10" t="n">
        <v>0.9999997135401492</v>
      </c>
      <c r="D10" t="n">
        <v>72.60545412066264</v>
      </c>
      <c r="E10" t="inlineStr">
        <is>
          <t>Highest calibrator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set 68 samples — back-calculated concentration (4PL vs TCS) — KEY for clinical validation</t>
        </is>
      </c>
    </row>
    <row r="2">
      <c r="A2" s="1" t="inlineStr">
        <is>
          <t>Test sample #</t>
        </is>
      </c>
      <c r="B2" s="1" t="inlineStr">
        <is>
          <t>AEB (raw)</t>
        </is>
      </c>
      <c r="C2" s="1" t="inlineStr">
        <is>
          <t>n (beads)</t>
        </is>
      </c>
      <c r="D2" s="1" t="inlineStr">
        <is>
          <t>k (positive)</t>
        </is>
      </c>
      <c r="E2" s="1" t="inlineStr">
        <is>
          <t>P_obs</t>
        </is>
      </c>
      <c r="F2" s="1" t="inlineStr">
        <is>
          <t>Conc_4PL (pg/mL)</t>
        </is>
      </c>
      <c r="G2" s="1" t="inlineStr">
        <is>
          <t>Conc_TCS (pg/mL)</t>
        </is>
      </c>
      <c r="H2" s="1" t="inlineStr">
        <is>
          <t>Diff_4PL-TCS</t>
        </is>
      </c>
      <c r="I2" s="1" t="inlineStr">
        <is>
          <t>|log10 ratio|</t>
        </is>
      </c>
    </row>
    <row r="3">
      <c r="A3" t="n">
        <v>1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0.3638401192656471</v>
      </c>
      <c r="G3" t="n">
        <v>0.3710732519827151</v>
      </c>
      <c r="H3" t="n">
        <v>-0.007233132717067992</v>
      </c>
      <c r="I3" t="n">
        <v>0.0085490649253116</v>
      </c>
    </row>
    <row r="4">
      <c r="A4" t="n">
        <v>2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0.4198794219371372</v>
      </c>
      <c r="G4" t="n">
        <v>0.4281797086140443</v>
      </c>
      <c r="H4" t="n">
        <v>-0.008300286676907076</v>
      </c>
      <c r="I4" t="n">
        <v>0.008501491659375249</v>
      </c>
    </row>
    <row r="5">
      <c r="A5" t="n">
        <v>3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4.252055468957137</v>
      </c>
      <c r="G5" t="n">
        <v>4.16435141511982</v>
      </c>
      <c r="H5" t="n">
        <v>0.08770405383731639</v>
      </c>
      <c r="I5" t="n">
        <v>0.009051550366535155</v>
      </c>
    </row>
    <row r="6">
      <c r="A6" t="n">
        <v>4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4.16190689921909</v>
      </c>
      <c r="G6" t="n">
        <v>4.080304453779577</v>
      </c>
      <c r="H6" t="n">
        <v>0.08160244543951389</v>
      </c>
      <c r="I6" t="n">
        <v>0.008599791549099622</v>
      </c>
    </row>
    <row r="7">
      <c r="A7" t="n">
        <v>5</v>
      </c>
      <c r="B7" t="n">
        <v>0.058197346</v>
      </c>
      <c r="C7" t="n">
        <v>20960</v>
      </c>
      <c r="D7" t="n">
        <v>1185.000003972326</v>
      </c>
      <c r="E7" t="n">
        <v>0.05653625973150411</v>
      </c>
      <c r="F7" t="n">
        <v>0.08562610603974516</v>
      </c>
      <c r="G7" t="n">
        <v>0.08680702334278857</v>
      </c>
      <c r="H7" t="n">
        <v>-0.001180917303043413</v>
      </c>
      <c r="I7" t="n">
        <v>0.005948669940832207</v>
      </c>
    </row>
    <row r="8">
      <c r="A8" t="n">
        <v>6</v>
      </c>
      <c r="B8" t="n">
        <v>0.058412891</v>
      </c>
      <c r="C8" t="n">
        <v>24727</v>
      </c>
      <c r="D8" t="n">
        <v>1403.000007810553</v>
      </c>
      <c r="E8" t="n">
        <v>0.05673959670847872</v>
      </c>
      <c r="F8" t="n">
        <v>0.08596181801016724</v>
      </c>
      <c r="G8" t="n">
        <v>0.08715047691260706</v>
      </c>
      <c r="H8" t="n">
        <v>-0.001188658902439826</v>
      </c>
      <c r="I8" t="n">
        <v>0.005964176208371752</v>
      </c>
    </row>
    <row r="9">
      <c r="A9" t="n">
        <v>7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0.5435122725019448</v>
      </c>
      <c r="G9" t="n">
        <v>0.553945057031581</v>
      </c>
      <c r="H9" t="n">
        <v>-0.01043278452963625</v>
      </c>
      <c r="I9" t="n">
        <v>0.008257336524513881</v>
      </c>
    </row>
    <row r="10">
      <c r="A10" t="n">
        <v>8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0.5726416008597153</v>
      </c>
      <c r="G10" t="n">
        <v>0.5835306776663483</v>
      </c>
      <c r="H10" t="n">
        <v>-0.01088907680663298</v>
      </c>
      <c r="I10" t="n">
        <v>0.008180797779797189</v>
      </c>
    </row>
    <row r="11">
      <c r="A11" t="n">
        <v>9</v>
      </c>
      <c r="B11" t="n">
        <v>0.102767165</v>
      </c>
      <c r="C11" t="n">
        <v>22721</v>
      </c>
      <c r="D11" t="n">
        <v>2219.000008043827</v>
      </c>
      <c r="E11" t="n">
        <v>0.09766295532959934</v>
      </c>
      <c r="F11" t="n">
        <v>0.1550477276964689</v>
      </c>
      <c r="G11" t="n">
        <v>0.1578254345409578</v>
      </c>
      <c r="H11" t="n">
        <v>-0.002777706844488914</v>
      </c>
      <c r="I11" t="n">
        <v>0.007711587931713004</v>
      </c>
    </row>
    <row r="12">
      <c r="A12" t="n">
        <v>10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0.1602071652256157</v>
      </c>
      <c r="G12" t="n">
        <v>0.1631023390333727</v>
      </c>
      <c r="H12" t="n">
        <v>-0.002895173807757029</v>
      </c>
      <c r="I12" t="n">
        <v>0.007778253360840037</v>
      </c>
    </row>
    <row r="13">
      <c r="A13" t="n">
        <v>11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0.1915072737667291</v>
      </c>
      <c r="G13" t="n">
        <v>0.1951090010004934</v>
      </c>
      <c r="H13" t="n">
        <v>-0.003601727233764229</v>
      </c>
      <c r="I13" t="n">
        <v>0.008092031397175736</v>
      </c>
    </row>
    <row r="14">
      <c r="A14" t="n">
        <v>12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0.1905985182451726</v>
      </c>
      <c r="G14" t="n">
        <v>0.1941798925290421</v>
      </c>
      <c r="H14" t="n">
        <v>-0.003581374283869454</v>
      </c>
      <c r="I14" t="n">
        <v>0.008084736372069079</v>
      </c>
    </row>
    <row r="15">
      <c r="A15" t="n">
        <v>13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0.5222319027009149</v>
      </c>
      <c r="G15" t="n">
        <v>0.5323200510247096</v>
      </c>
      <c r="H15" t="n">
        <v>-0.01008814832379468</v>
      </c>
      <c r="I15" t="n">
        <v>0.008309426177060819</v>
      </c>
    </row>
    <row r="16">
      <c r="A16" t="n">
        <v>14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0.5272207693326456</v>
      </c>
      <c r="G16" t="n">
        <v>0.5373905630979481</v>
      </c>
      <c r="H16" t="n">
        <v>-0.01016979376530247</v>
      </c>
      <c r="I16" t="n">
        <v>0.008297525173516618</v>
      </c>
    </row>
    <row r="17">
      <c r="A17" t="n">
        <v>15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0.1404801085751617</v>
      </c>
      <c r="G17" t="n">
        <v>0.1429248636643105</v>
      </c>
      <c r="H17" t="n">
        <v>-0.00244475508914882</v>
      </c>
      <c r="I17" t="n">
        <v>0.007492952391584096</v>
      </c>
    </row>
    <row r="18">
      <c r="A18" t="n">
        <v>16</v>
      </c>
      <c r="B18" t="n">
        <v>0.0929902</v>
      </c>
      <c r="C18" t="n">
        <v>27985</v>
      </c>
      <c r="D18" t="n">
        <v>2484.999995436966</v>
      </c>
      <c r="E18" t="n">
        <v>0.08879756996380084</v>
      </c>
      <c r="F18" t="n">
        <v>0.1398170697126115</v>
      </c>
      <c r="G18" t="n">
        <v>0.1422466295060952</v>
      </c>
      <c r="H18" t="n">
        <v>-0.002429559793483721</v>
      </c>
      <c r="I18" t="n">
        <v>0.007481788762581543</v>
      </c>
    </row>
    <row r="19">
      <c r="A19" t="n">
        <v>17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3.875347495899186</v>
      </c>
      <c r="G19" t="n">
        <v>3.811941386613642</v>
      </c>
      <c r="H19" t="n">
        <v>0.06340610928554336</v>
      </c>
      <c r="I19" t="n">
        <v>0.007164436850417566</v>
      </c>
    </row>
    <row r="20">
      <c r="A20" t="n">
        <v>18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3.666894350560329</v>
      </c>
      <c r="G20" t="n">
        <v>3.615572158223876</v>
      </c>
      <c r="H20" t="n">
        <v>0.0513221923364533</v>
      </c>
      <c r="I20" t="n">
        <v>0.00612136393926821</v>
      </c>
    </row>
    <row r="21">
      <c r="A21" t="n">
        <v>19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0.5215145242578629</v>
      </c>
      <c r="G21" t="n">
        <v>0.5315908895912389</v>
      </c>
      <c r="H21" t="n">
        <v>-0.01007636533337597</v>
      </c>
      <c r="I21" t="n">
        <v>0.008311121294739043</v>
      </c>
    </row>
    <row r="22">
      <c r="A22" t="n">
        <v>20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0.5410387989657814</v>
      </c>
      <c r="G22" t="n">
        <v>0.5514320132604437</v>
      </c>
      <c r="H22" t="n">
        <v>-0.01039321429466222</v>
      </c>
      <c r="I22" t="n">
        <v>0.008263565026945807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38.37471908556955</v>
      </c>
    </row>
    <row r="28">
      <c r="A28" t="n">
        <v>26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37.02033395007616</v>
      </c>
    </row>
    <row r="29">
      <c r="A29" t="n">
        <v>27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0.6471511060018693</v>
      </c>
      <c r="G29" t="n">
        <v>0.6591248713234392</v>
      </c>
      <c r="H29" t="n">
        <v>-0.01197376532156991</v>
      </c>
      <c r="I29" t="n">
        <v>0.007962001821911813</v>
      </c>
    </row>
    <row r="30">
      <c r="A30" t="n">
        <v>28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0.6535056685811489</v>
      </c>
      <c r="G30" t="n">
        <v>0.6655663948513468</v>
      </c>
      <c r="H30" t="n">
        <v>-0.01206072627019794</v>
      </c>
      <c r="I30" t="n">
        <v>0.007942026798442664</v>
      </c>
    </row>
    <row r="31">
      <c r="A31" t="n">
        <v>29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44.1457618420209</v>
      </c>
    </row>
    <row r="32">
      <c r="A32" t="n">
        <v>30</v>
      </c>
      <c r="B32" t="n">
        <v>18.77629449</v>
      </c>
      <c r="C32" t="n">
        <v>16167</v>
      </c>
      <c r="D32" t="n">
        <v>16166.99988671084</v>
      </c>
      <c r="E32" t="n">
        <v>0.9999999929925677</v>
      </c>
      <c r="F32" t="n">
        <v>45.74844854021195</v>
      </c>
    </row>
    <row r="33">
      <c r="A33" t="n">
        <v>31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5.70966851082085</v>
      </c>
      <c r="G33" t="n">
        <v>5.498704143599478</v>
      </c>
      <c r="H33" t="n">
        <v>0.2109643672213721</v>
      </c>
      <c r="I33" t="n">
        <v>0.01635054171373429</v>
      </c>
    </row>
    <row r="34">
      <c r="A34" t="n">
        <v>32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5.920488876019058</v>
      </c>
      <c r="G34" t="n">
        <v>5.687930219720489</v>
      </c>
      <c r="H34" t="n">
        <v>0.2325586562985693</v>
      </c>
      <c r="I34" t="n">
        <v>0.0174033096856373</v>
      </c>
    </row>
    <row r="35">
      <c r="A35" t="n">
        <v>33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10.16953360263497</v>
      </c>
      <c r="G35" t="n">
        <v>9.311230821822139</v>
      </c>
      <c r="H35" t="n">
        <v>0.8583027808128261</v>
      </c>
      <c r="I35" t="n">
        <v>0.03829394289682475</v>
      </c>
    </row>
    <row r="36">
      <c r="A36" t="n">
        <v>34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11.10693310341982</v>
      </c>
      <c r="G36" t="n">
        <v>10.06449131250654</v>
      </c>
      <c r="H36" t="n">
        <v>1.04244179091328</v>
      </c>
      <c r="I36" t="n">
        <v>0.04280232681487695</v>
      </c>
    </row>
    <row r="37">
      <c r="A37" t="n">
        <v>35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19.10231640968601</v>
      </c>
      <c r="G37" t="n">
        <v>15.90112800003245</v>
      </c>
      <c r="H37" t="n">
        <v>3.201188409653565</v>
      </c>
      <c r="I37" t="n">
        <v>0.07965810086368874</v>
      </c>
    </row>
    <row r="38">
      <c r="A38" t="n">
        <v>36</v>
      </c>
      <c r="B38" t="n">
        <v>9.973993837</v>
      </c>
      <c r="C38" t="n">
        <v>24012</v>
      </c>
      <c r="D38" t="n">
        <v>24010.88113458742</v>
      </c>
      <c r="E38" t="n">
        <v>0.9999534039058561</v>
      </c>
      <c r="F38" t="n">
        <v>19.08098189284852</v>
      </c>
      <c r="G38" t="n">
        <v>15.8868288397913</v>
      </c>
      <c r="H38" t="n">
        <v>3.194153053057228</v>
      </c>
      <c r="I38" t="n">
        <v>0.07956350280583835</v>
      </c>
    </row>
    <row r="39">
      <c r="A39" t="n">
        <v>37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12.39412388703191</v>
      </c>
      <c r="G39" t="n">
        <v>11.07354683911568</v>
      </c>
      <c r="H39" t="n">
        <v>1.320577047916228</v>
      </c>
      <c r="I39" t="n">
        <v>0.0489290859008138</v>
      </c>
    </row>
    <row r="40">
      <c r="A40" t="n">
        <v>38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12.16073083304113</v>
      </c>
      <c r="G40" t="n">
        <v>10.89271052050401</v>
      </c>
      <c r="H40" t="n">
        <v>1.268020312537123</v>
      </c>
      <c r="I40" t="n">
        <v>0.04782371367711669</v>
      </c>
    </row>
    <row r="41">
      <c r="A41" t="n">
        <v>39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3.225613234287659</v>
      </c>
      <c r="G41" t="n">
        <v>3.196640751008244</v>
      </c>
      <c r="H41" t="n">
        <v>0.02897248327941426</v>
      </c>
      <c r="I41" t="n">
        <v>0.0039184607159225</v>
      </c>
    </row>
    <row r="42">
      <c r="A42" t="n">
        <v>40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3.66698938179688</v>
      </c>
      <c r="G42" t="n">
        <v>3.615661902787468</v>
      </c>
      <c r="H42" t="n">
        <v>0.05132747900941181</v>
      </c>
      <c r="I42" t="n">
        <v>0.006121839186038369</v>
      </c>
    </row>
    <row r="43">
      <c r="A43" t="n">
        <v>41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22.77332137895795</v>
      </c>
      <c r="G43" t="n">
        <v>18.27156795761822</v>
      </c>
      <c r="H43" t="n">
        <v>4.501753421339728</v>
      </c>
      <c r="I43" t="n">
        <v>0.0956505574586668</v>
      </c>
    </row>
    <row r="44">
      <c r="A44" t="n">
        <v>42</v>
      </c>
      <c r="B44" t="n">
        <v>11.67209064</v>
      </c>
      <c r="C44" t="n">
        <v>24142</v>
      </c>
      <c r="D44" t="n">
        <v>24141.79410363076</v>
      </c>
      <c r="E44" t="n">
        <v>0.9999914714452309</v>
      </c>
      <c r="F44" t="n">
        <v>23.29192795621097</v>
      </c>
      <c r="G44" t="n">
        <v>18.59260911252091</v>
      </c>
      <c r="H44" t="n">
        <v>4.699318843690055</v>
      </c>
      <c r="I44" t="n">
        <v>0.09786509926454867</v>
      </c>
    </row>
    <row r="45">
      <c r="A45" t="n">
        <v>43</v>
      </c>
      <c r="B45" t="n">
        <v>3.912569618</v>
      </c>
      <c r="C45" t="n">
        <v>24784</v>
      </c>
      <c r="D45" t="n">
        <v>24288.59087088216</v>
      </c>
      <c r="E45" t="n">
        <v>0.9800109292641285</v>
      </c>
      <c r="F45" t="n">
        <v>6.528476774182531</v>
      </c>
      <c r="G45" t="n">
        <v>6.228438312527934</v>
      </c>
      <c r="H45" t="n">
        <v>0.300038461654597</v>
      </c>
      <c r="I45" t="n">
        <v>0.02043269591615404</v>
      </c>
    </row>
    <row r="46">
      <c r="A46" t="n">
        <v>44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7.096278508596043</v>
      </c>
      <c r="G46" t="n">
        <v>6.726345308564113</v>
      </c>
      <c r="H46" t="n">
        <v>0.3699332000319302</v>
      </c>
      <c r="I46" t="n">
        <v>0.02325149316313557</v>
      </c>
    </row>
    <row r="47">
      <c r="A47" t="n">
        <v>45</v>
      </c>
      <c r="B47" t="n">
        <v>8.439671494000001</v>
      </c>
      <c r="C47" t="n">
        <v>23404</v>
      </c>
      <c r="D47" t="n">
        <v>23398.94190093982</v>
      </c>
      <c r="E47" t="n">
        <v>0.9997838788642888</v>
      </c>
      <c r="F47" t="n">
        <v>15.56579500129187</v>
      </c>
      <c r="G47" t="n">
        <v>13.44200995762954</v>
      </c>
      <c r="H47" t="n">
        <v>2.123785043662336</v>
      </c>
      <c r="I47" t="n">
        <v>0.06370709378714534</v>
      </c>
    </row>
    <row r="48">
      <c r="A48" t="n">
        <v>46</v>
      </c>
      <c r="B48" t="n">
        <v>9.340527238</v>
      </c>
      <c r="C48" t="n">
        <v>26483</v>
      </c>
      <c r="D48" t="n">
        <v>26480.67497437918</v>
      </c>
      <c r="E48" t="n">
        <v>0.9999122068639951</v>
      </c>
      <c r="F48" t="n">
        <v>17.59825180853997</v>
      </c>
      <c r="G48" t="n">
        <v>14.8774509150562</v>
      </c>
      <c r="H48" t="n">
        <v>2.720800893483773</v>
      </c>
      <c r="I48" t="n">
        <v>0.0729410015307006</v>
      </c>
    </row>
    <row r="49">
      <c r="A49" t="n">
        <v>47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14.06507738101773</v>
      </c>
      <c r="G49" t="n">
        <v>12.34158735863536</v>
      </c>
      <c r="H49" t="n">
        <v>1.72349002238237</v>
      </c>
      <c r="I49" t="n">
        <v>0.05677110416913123</v>
      </c>
    </row>
    <row r="50">
      <c r="A50" t="n">
        <v>48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14.16629987605381</v>
      </c>
      <c r="G50" t="n">
        <v>12.41693247535637</v>
      </c>
      <c r="H50" t="n">
        <v>1.749367400697436</v>
      </c>
      <c r="I50" t="n">
        <v>0.05724211143660107</v>
      </c>
    </row>
    <row r="51">
      <c r="A51" t="n">
        <v>49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1.139846099394583</v>
      </c>
      <c r="G51" t="n">
        <v>1.155884771156534</v>
      </c>
      <c r="H51" t="n">
        <v>-0.01603867176195117</v>
      </c>
      <c r="I51" t="n">
        <v>0.006068324524529843</v>
      </c>
    </row>
    <row r="52">
      <c r="A52" t="n">
        <v>50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1.163412442782844</v>
      </c>
      <c r="G52" t="n">
        <v>1.179506968953567</v>
      </c>
      <c r="H52" t="n">
        <v>-0.01609452617072304</v>
      </c>
      <c r="I52" t="n">
        <v>0.005966806898930602</v>
      </c>
    </row>
    <row r="53">
      <c r="A53" t="n">
        <v>51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1.720051750079273</v>
      </c>
      <c r="G53" t="n">
        <v>1.733717806743277</v>
      </c>
      <c r="H53" t="n">
        <v>-0.01366605666400367</v>
      </c>
      <c r="I53" t="n">
        <v>0.003436896339387346</v>
      </c>
    </row>
    <row r="54">
      <c r="A54" t="n">
        <v>52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1.828429503324183</v>
      </c>
      <c r="G54" t="n">
        <v>1.840783115723575</v>
      </c>
      <c r="H54" t="n">
        <v>-0.01235361239939214</v>
      </c>
      <c r="I54" t="n">
        <v>0.002924401786386532</v>
      </c>
    </row>
    <row r="55">
      <c r="A55" t="n">
        <v>53</v>
      </c>
      <c r="B55" t="n">
        <v>0.381027732</v>
      </c>
      <c r="C55" t="n">
        <v>20070</v>
      </c>
      <c r="D55" t="n">
        <v>6358.999994053142</v>
      </c>
      <c r="E55" t="n">
        <v>0.3168410560066339</v>
      </c>
      <c r="F55" t="n">
        <v>0.5900579128512629</v>
      </c>
      <c r="G55" t="n">
        <v>0.6012112012061024</v>
      </c>
      <c r="H55" t="n">
        <v>-0.01115328835483953</v>
      </c>
      <c r="I55" t="n">
        <v>0.008132424603361887</v>
      </c>
    </row>
    <row r="56">
      <c r="A56" t="n">
        <v>54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0.5576160262967946</v>
      </c>
      <c r="G56" t="n">
        <v>0.568271977827839</v>
      </c>
      <c r="H56" t="n">
        <v>-0.01065595153104437</v>
      </c>
      <c r="I56" t="n">
        <v>0.008220993777655033</v>
      </c>
    </row>
    <row r="57">
      <c r="A57" t="n">
        <v>55</v>
      </c>
      <c r="B57" t="n">
        <v>0.300477333</v>
      </c>
      <c r="C57" t="n">
        <v>21735</v>
      </c>
      <c r="D57" t="n">
        <v>5641.000004557591</v>
      </c>
      <c r="E57" t="n">
        <v>0.2595353119189138</v>
      </c>
      <c r="F57" t="n">
        <v>0.4637676631277915</v>
      </c>
      <c r="G57" t="n">
        <v>0.472860638275645</v>
      </c>
      <c r="H57" t="n">
        <v>-0.009092975147853455</v>
      </c>
      <c r="I57" t="n">
        <v>0.008432700562444051</v>
      </c>
    </row>
    <row r="58">
      <c r="A58" t="n">
        <v>56</v>
      </c>
      <c r="B58" t="n">
        <v>0.309396565</v>
      </c>
      <c r="C58" t="n">
        <v>28879</v>
      </c>
      <c r="D58" t="n">
        <v>7685.000007763258</v>
      </c>
      <c r="E58" t="n">
        <v>0.266110322648404</v>
      </c>
      <c r="F58" t="n">
        <v>0.4777355997147916</v>
      </c>
      <c r="G58" t="n">
        <v>0.4870727149670013</v>
      </c>
      <c r="H58" t="n">
        <v>-0.009337115252209705</v>
      </c>
      <c r="I58" t="n">
        <v>0.008406196696460644</v>
      </c>
    </row>
    <row r="59">
      <c r="A59" t="n">
        <v>57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19.35772454933663</v>
      </c>
      <c r="G59" t="n">
        <v>16.07182613557027</v>
      </c>
      <c r="H59" t="n">
        <v>3.285898413766368</v>
      </c>
      <c r="I59" t="n">
        <v>0.08078908019104425</v>
      </c>
    </row>
    <row r="60">
      <c r="A60" t="n">
        <v>58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19.10962027656709</v>
      </c>
      <c r="G60" t="n">
        <v>15.90602187361036</v>
      </c>
      <c r="H60" t="n">
        <v>3.203598402956725</v>
      </c>
      <c r="I60" t="n">
        <v>0.07969048201284323</v>
      </c>
    </row>
    <row r="61">
      <c r="A61" t="n">
        <v>59</v>
      </c>
      <c r="B61" t="n">
        <v>3.644694894</v>
      </c>
      <c r="C61" t="n">
        <v>25211</v>
      </c>
      <c r="D61" t="n">
        <v>24552.25217891836</v>
      </c>
      <c r="E61" t="n">
        <v>0.9738706191312665</v>
      </c>
      <c r="F61" t="n">
        <v>6.047635277488588</v>
      </c>
      <c r="G61" t="n">
        <v>5.801601548873394</v>
      </c>
      <c r="H61" t="n">
        <v>0.2460337286151946</v>
      </c>
      <c r="I61" t="n">
        <v>0.01803769336703598</v>
      </c>
    </row>
    <row r="62">
      <c r="A62" t="n">
        <v>60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6.35795093025338</v>
      </c>
      <c r="G62" t="n">
        <v>6.077613271030492</v>
      </c>
      <c r="H62" t="n">
        <v>0.2803376592228881</v>
      </c>
      <c r="I62" t="n">
        <v>0.01958411005020977</v>
      </c>
    </row>
    <row r="63">
      <c r="A63" t="n">
        <v>61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2.077159605156943</v>
      </c>
      <c r="G63" t="n">
        <v>2.085465434899139</v>
      </c>
      <c r="H63" t="n">
        <v>-0.008305829742196291</v>
      </c>
      <c r="I63" t="n">
        <v>0.001733127907087295</v>
      </c>
    </row>
    <row r="64">
      <c r="A64" t="n">
        <v>62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2.001213634619589</v>
      </c>
      <c r="G64" t="n">
        <v>2.010908313433728</v>
      </c>
      <c r="H64" t="n">
        <v>-0.009694678814138769</v>
      </c>
      <c r="I64" t="n">
        <v>0.002098816417699989</v>
      </c>
    </row>
    <row r="65">
      <c r="A65" t="n">
        <v>63</v>
      </c>
      <c r="B65" t="n">
        <v>0.491130065</v>
      </c>
      <c r="C65" t="n">
        <v>30768</v>
      </c>
      <c r="D65" t="n">
        <v>11939.99999420986</v>
      </c>
      <c r="E65" t="n">
        <v>0.3880655224327179</v>
      </c>
      <c r="F65" t="n">
        <v>0.7632277412369111</v>
      </c>
      <c r="G65" t="n">
        <v>0.7766503870567735</v>
      </c>
      <c r="H65" t="n">
        <v>-0.01342264581986241</v>
      </c>
      <c r="I65" t="n">
        <v>0.007571415623053801</v>
      </c>
    </row>
    <row r="66">
      <c r="A66" t="n">
        <v>64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0.7613507698150253</v>
      </c>
      <c r="G66" t="n">
        <v>0.7747523537516139</v>
      </c>
      <c r="H66" t="n">
        <v>-0.01340158393658863</v>
      </c>
      <c r="I66" t="n">
        <v>0.007578113134904377</v>
      </c>
    </row>
    <row r="67">
      <c r="A67" t="n">
        <v>65</v>
      </c>
      <c r="B67" t="n">
        <v>0.164663363</v>
      </c>
      <c r="C67" t="n">
        <v>19332</v>
      </c>
      <c r="D67" t="n">
        <v>2935.000004671402</v>
      </c>
      <c r="E67" t="n">
        <v>0.1518208154702774</v>
      </c>
      <c r="F67" t="n">
        <v>0.2515309899446156</v>
      </c>
      <c r="G67" t="n">
        <v>0.2564520329834443</v>
      </c>
      <c r="H67" t="n">
        <v>-0.004921043038828621</v>
      </c>
      <c r="I67" t="n">
        <v>0.008414646157915096</v>
      </c>
    </row>
    <row r="68">
      <c r="A68" t="n">
        <v>66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0.2468463647170269</v>
      </c>
      <c r="G68" t="n">
        <v>0.2516663430223008</v>
      </c>
      <c r="H68" t="n">
        <v>-0.004819978305273975</v>
      </c>
      <c r="I68" t="n">
        <v>0.008398402615631739</v>
      </c>
    </row>
    <row r="69">
      <c r="A69" t="n">
        <v>67</v>
      </c>
      <c r="B69" t="n">
        <v>0.060327989</v>
      </c>
      <c r="C69" t="n">
        <v>27176</v>
      </c>
      <c r="D69" t="n">
        <v>1591.000010202589</v>
      </c>
      <c r="E69" t="n">
        <v>0.05854430417289479</v>
      </c>
      <c r="F69" t="n">
        <v>0.08894457029913634</v>
      </c>
      <c r="G69" t="n">
        <v>0.09020203108761471</v>
      </c>
      <c r="H69" t="n">
        <v>-0.001257460788478368</v>
      </c>
      <c r="I69" t="n">
        <v>0.006096875367757493</v>
      </c>
    </row>
    <row r="70">
      <c r="A70" t="n">
        <v>68</v>
      </c>
      <c r="B70" t="n">
        <v>0.061404418</v>
      </c>
      <c r="C70" t="n">
        <v>25337</v>
      </c>
      <c r="D70" t="n">
        <v>1508.999994745462</v>
      </c>
      <c r="E70" t="n">
        <v>0.05955716914968079</v>
      </c>
      <c r="F70" t="n">
        <v>0.09062108880753532</v>
      </c>
      <c r="G70" t="n">
        <v>0.09191723386525298</v>
      </c>
      <c r="H70" t="n">
        <v>-0.001296145057717663</v>
      </c>
      <c r="I70" t="n">
        <v>0.006167670425512028</v>
      </c>
    </row>
    <row r="71">
      <c r="A71" t="n">
        <v>69</v>
      </c>
      <c r="B71" t="n">
        <v>0.022457158</v>
      </c>
      <c r="C71" t="n">
        <v>28955</v>
      </c>
      <c r="D71" t="n">
        <v>643.0000103454624</v>
      </c>
      <c r="E71" t="n">
        <v>0.02220687309084657</v>
      </c>
      <c r="F71" t="n">
        <v>0.02993871376235433</v>
      </c>
      <c r="G71" t="n">
        <v>0.02985791687044945</v>
      </c>
      <c r="H71" t="n">
        <v>8.079689190488779e-05</v>
      </c>
      <c r="I71" t="n">
        <v>0.001173633540639818</v>
      </c>
    </row>
    <row r="72">
      <c r="A72" t="n">
        <v>70</v>
      </c>
      <c r="B72" t="n">
        <v>0.021049788</v>
      </c>
      <c r="C72" t="n">
        <v>29381</v>
      </c>
      <c r="D72" t="n">
        <v>611.9999886148111</v>
      </c>
      <c r="E72" t="n">
        <v>0.02082978757070253</v>
      </c>
      <c r="F72" t="n">
        <v>0.02774385220157749</v>
      </c>
      <c r="G72" t="n">
        <v>0.02761538630580971</v>
      </c>
      <c r="H72" t="n">
        <v>0.0001284658957677737</v>
      </c>
      <c r="I72" t="n">
        <v>0.00201563935119986</v>
      </c>
    </row>
    <row r="73">
      <c r="A73" t="n">
        <v>71</v>
      </c>
      <c r="B73" t="n">
        <v>0.004045956</v>
      </c>
      <c r="C73" t="n">
        <v>27738</v>
      </c>
      <c r="D73" t="n">
        <v>112.0000012051763</v>
      </c>
      <c r="E73" t="n">
        <v>0.004037782147421454</v>
      </c>
      <c r="F73" t="n">
        <v>0.001174932743504848</v>
      </c>
      <c r="G73" t="n">
        <v>0.0005211516866252</v>
      </c>
      <c r="H73" t="n">
        <v>0.0006537810568796478</v>
      </c>
      <c r="I73" t="n">
        <v>0.3530488594364392</v>
      </c>
    </row>
    <row r="74">
      <c r="A74" t="n">
        <v>72</v>
      </c>
      <c r="B74" t="n">
        <v>0.003941668</v>
      </c>
      <c r="C74" t="n">
        <v>31775</v>
      </c>
      <c r="D74" t="n">
        <v>124.9999846392238</v>
      </c>
      <c r="E74" t="n">
        <v>0.003933909823421677</v>
      </c>
      <c r="F74" t="n">
        <v>0.001011053741889413</v>
      </c>
      <c r="G74" t="n">
        <v>0.0003549771713767124</v>
      </c>
      <c r="H74" t="n">
        <v>0.0006560765705127005</v>
      </c>
      <c r="I74" t="n">
        <v>0.4545738164146216</v>
      </c>
    </row>
    <row r="76">
      <c r="A76" s="3" t="inlineStr">
        <is>
          <t>Summary</t>
        </is>
      </c>
      <c r="B76" s="3" t="inlineStr">
        <is>
          <t>4PL</t>
        </is>
      </c>
      <c r="C76" s="3" t="inlineStr">
        <is>
          <t>TCS</t>
        </is>
      </c>
      <c r="D76" s="3" t="inlineStr"/>
      <c r="E76" s="3" t="inlineStr"/>
      <c r="F76" s="3" t="inlineStr"/>
      <c r="G76" s="3" t="inlineStr"/>
      <c r="H76" s="3" t="inlineStr"/>
      <c r="I76" s="3" t="inlineStr"/>
    </row>
    <row r="77">
      <c r="A77" t="inlineStr">
        <is>
          <t>Min (pg/mL)</t>
        </is>
      </c>
      <c r="B77" t="n">
        <v>0.001011053741889413</v>
      </c>
      <c r="C77" t="n">
        <v>0.0003549771713767124</v>
      </c>
    </row>
    <row r="78">
      <c r="A78" t="inlineStr">
        <is>
          <t>Median (pg/mL)</t>
        </is>
      </c>
      <c r="B78" t="n">
        <v>1.441732096431059</v>
      </c>
      <c r="C78" t="n">
        <v>0.9662675791066537</v>
      </c>
    </row>
    <row r="79">
      <c r="A79" t="inlineStr">
        <is>
          <t>Max (pg/mL)</t>
        </is>
      </c>
      <c r="B79" t="n">
        <v>45.74844854021195</v>
      </c>
      <c r="C79" t="n">
        <v>18.59260911252091</v>
      </c>
    </row>
    <row r="80">
      <c r="A80" t="inlineStr">
        <is>
          <t># NaN (above ULOQ)</t>
        </is>
      </c>
      <c r="B80" t="n">
        <v>4</v>
      </c>
      <c r="C80" t="n">
        <v>8</v>
      </c>
    </row>
    <row r="81">
      <c r="A81" t="inlineStr">
        <is>
          <t># =0 (below LLOQ)</t>
        </is>
      </c>
      <c r="B81" t="n">
        <v>0</v>
      </c>
      <c r="C8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Training-set real concentrations in pg/mL (TCS scale and 4PL scale)</t>
        </is>
      </c>
    </row>
    <row r="2">
      <c r="A2" s="1" t="inlineStr">
        <is>
          <t>Concentration (input, pg/mL)</t>
        </is>
      </c>
      <c r="B2" s="1" t="inlineStr">
        <is>
          <t>conc_train_real (TCS scale, pg/mL)</t>
        </is>
      </c>
      <c r="C2" s="1" t="inlineStr">
        <is>
          <t>conc_train_4pl_real (4PL scale, pg/mL)</t>
        </is>
      </c>
      <c r="D2" s="1" t="inlineStr">
        <is>
          <t>Ratio (4PL / TCS)</t>
        </is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0.0328</v>
      </c>
      <c r="B5" t="n">
        <v>0.0328</v>
      </c>
      <c r="C5" t="n">
        <v>0.0328</v>
      </c>
      <c r="D5" t="n">
        <v>1</v>
      </c>
    </row>
    <row r="6">
      <c r="A6" t="n">
        <v>0.0328</v>
      </c>
      <c r="B6" t="n">
        <v>0.0328</v>
      </c>
      <c r="C6" t="n">
        <v>0.0328</v>
      </c>
      <c r="D6" t="n">
        <v>1</v>
      </c>
    </row>
    <row r="7">
      <c r="A7" t="n">
        <v>0.0984</v>
      </c>
      <c r="B7" t="n">
        <v>0.0984</v>
      </c>
      <c r="C7" t="n">
        <v>0.09839999999999999</v>
      </c>
      <c r="D7" t="n">
        <v>0.9999999999999999</v>
      </c>
    </row>
    <row r="8">
      <c r="A8" t="n">
        <v>0.0984</v>
      </c>
      <c r="B8" t="n">
        <v>0.0984</v>
      </c>
      <c r="C8" t="n">
        <v>0.09839999999999999</v>
      </c>
      <c r="D8" t="n">
        <v>0.9999999999999999</v>
      </c>
    </row>
    <row r="9">
      <c r="A9" t="n">
        <v>0.296</v>
      </c>
      <c r="B9" t="n">
        <v>0.296</v>
      </c>
      <c r="C9" t="n">
        <v>0.296</v>
      </c>
      <c r="D9" t="n">
        <v>0.9999999999999998</v>
      </c>
    </row>
    <row r="10">
      <c r="A10" t="n">
        <v>0.296</v>
      </c>
      <c r="B10" t="n">
        <v>0.296</v>
      </c>
      <c r="C10" t="n">
        <v>0.296</v>
      </c>
      <c r="D10" t="n">
        <v>0.9999999999999998</v>
      </c>
    </row>
    <row r="11">
      <c r="A11" t="n">
        <v>0.888</v>
      </c>
      <c r="B11" t="n">
        <v>0.8880000000000001</v>
      </c>
      <c r="C11" t="n">
        <v>0.8880000000000001</v>
      </c>
      <c r="D11" t="n">
        <v>1</v>
      </c>
    </row>
    <row r="12">
      <c r="A12" t="n">
        <v>0.888</v>
      </c>
      <c r="B12" t="n">
        <v>0.8880000000000001</v>
      </c>
      <c r="C12" t="n">
        <v>0.8880000000000001</v>
      </c>
      <c r="D12" t="n">
        <v>1</v>
      </c>
    </row>
    <row r="13">
      <c r="A13" t="n">
        <v>2.664</v>
      </c>
      <c r="B13" t="n">
        <v>2.664</v>
      </c>
      <c r="C13" t="n">
        <v>2.664000000000001</v>
      </c>
      <c r="D13" t="n">
        <v>1</v>
      </c>
    </row>
    <row r="14">
      <c r="A14" t="n">
        <v>2.664</v>
      </c>
      <c r="B14" t="n">
        <v>2.664</v>
      </c>
      <c r="C14" t="n">
        <v>2.664000000000001</v>
      </c>
      <c r="D14" t="n">
        <v>1</v>
      </c>
    </row>
    <row r="15">
      <c r="A15" t="n">
        <v>8</v>
      </c>
      <c r="B15" t="n">
        <v>8</v>
      </c>
      <c r="C15" t="n">
        <v>8</v>
      </c>
      <c r="D15" t="n">
        <v>1</v>
      </c>
    </row>
    <row r="16">
      <c r="A16" t="n">
        <v>8</v>
      </c>
      <c r="B16" t="n">
        <v>8</v>
      </c>
      <c r="C16" t="n">
        <v>8</v>
      </c>
      <c r="D16" t="n">
        <v>1</v>
      </c>
    </row>
    <row r="17">
      <c r="A17" t="n">
        <v>24</v>
      </c>
      <c r="B17" t="n">
        <v>24</v>
      </c>
      <c r="C17" t="n">
        <v>24</v>
      </c>
      <c r="D17" t="n">
        <v>1</v>
      </c>
    </row>
    <row r="18">
      <c r="A18" t="n">
        <v>24</v>
      </c>
      <c r="B18" t="n">
        <v>24</v>
      </c>
      <c r="C18" t="n">
        <v>24</v>
      </c>
      <c r="D1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in pg/mL (converted from molecules, used for plotting distributions)</t>
        </is>
      </c>
    </row>
    <row r="2">
      <c r="A2" s="1" t="inlineStr">
        <is>
          <t>Well</t>
        </is>
      </c>
      <c r="B2" s="1" t="inlineStr">
        <is>
          <t>R2_LoB (pg/mL)</t>
        </is>
      </c>
      <c r="C2" s="1" t="inlineStr">
        <is>
          <t>R2_LoD (pg/mL)</t>
        </is>
      </c>
      <c r="D2" s="1" t="inlineStr">
        <is>
          <t>R2_LoQ_low (pg/mL)</t>
        </is>
      </c>
      <c r="E2" s="1" t="inlineStr">
        <is>
          <t>R2_LoQ_high (pg/mL)</t>
        </is>
      </c>
      <c r="F2" s="1" t="inlineStr">
        <is>
          <t>R3_LoB (pg/mL)</t>
        </is>
      </c>
      <c r="G2" s="1" t="inlineStr">
        <is>
          <t>R3_LoD (pg/mL)</t>
        </is>
      </c>
      <c r="H2" s="1" t="inlineStr">
        <is>
          <t>R3_LoQ_low (pg/mL)</t>
        </is>
      </c>
    </row>
    <row r="3">
      <c r="A3" t="n">
        <v>1</v>
      </c>
      <c r="B3" t="n">
        <v>0.0009330167781206166</v>
      </c>
      <c r="C3" t="n">
        <v>0.00202179807649072</v>
      </c>
      <c r="D3" t="n">
        <v>0.003584905653194677</v>
      </c>
      <c r="E3" t="n">
        <v>19.20068078583074</v>
      </c>
      <c r="F3" t="n">
        <v>0.0009304555546071245</v>
      </c>
      <c r="G3" t="n">
        <v>0.001860911109214249</v>
      </c>
      <c r="H3" t="n">
        <v>0.003575924332929174</v>
      </c>
    </row>
    <row r="4">
      <c r="A4" t="n">
        <v>2</v>
      </c>
      <c r="B4" t="n">
        <v>0.0008846577408462205</v>
      </c>
      <c r="C4" t="n">
        <v>0.001847595718936191</v>
      </c>
      <c r="D4" t="n">
        <v>0.003318956892865033</v>
      </c>
      <c r="E4" t="n">
        <v>19.44057006746355</v>
      </c>
      <c r="F4" t="n">
        <v>0.0008737683455005761</v>
      </c>
      <c r="G4" t="n">
        <v>0.001747536691001153</v>
      </c>
      <c r="H4" t="n">
        <v>0.003311303702941975</v>
      </c>
    </row>
    <row r="5">
      <c r="A5" t="n">
        <v>3</v>
      </c>
      <c r="B5" t="n">
        <v>0.0009009611558619838</v>
      </c>
      <c r="C5" t="n">
        <v>0.001957917164231153</v>
      </c>
      <c r="D5" t="n">
        <v>0.003474532674921063</v>
      </c>
      <c r="E5" t="n">
        <v>19.29775573341368</v>
      </c>
      <c r="F5" t="n">
        <v>0.0009071029975446591</v>
      </c>
      <c r="G5" t="n">
        <v>0.001814205995089318</v>
      </c>
      <c r="H5" t="n">
        <v>0.003466116122974567</v>
      </c>
    </row>
    <row r="6">
      <c r="A6" t="n">
        <v>4</v>
      </c>
      <c r="B6" t="n">
        <v>0.0009351650782737809</v>
      </c>
      <c r="C6" t="n">
        <v>0.002010607370739102</v>
      </c>
      <c r="D6" t="n">
        <v>0.003534404126894479</v>
      </c>
      <c r="E6" t="n">
        <v>19.24467899786651</v>
      </c>
      <c r="F6" t="n">
        <v>0.0009198005713502102</v>
      </c>
      <c r="G6" t="n">
        <v>0.001839601142700422</v>
      </c>
      <c r="H6" t="n">
        <v>0.003525683614006488</v>
      </c>
    </row>
    <row r="7">
      <c r="A7" t="n">
        <v>5</v>
      </c>
      <c r="B7" t="n">
        <v>0.0009772420854148444</v>
      </c>
      <c r="C7" t="n">
        <v>0.002054541964755551</v>
      </c>
      <c r="D7" t="n">
        <v>0.003766637169274762</v>
      </c>
      <c r="E7" t="n">
        <v>19.04787950662922</v>
      </c>
      <c r="F7" t="n">
        <v>0.0009683874394696279</v>
      </c>
      <c r="G7" t="n">
        <v>0.001936774878939257</v>
      </c>
      <c r="H7" t="n">
        <v>0.003756683778903488</v>
      </c>
    </row>
    <row r="8">
      <c r="A8" t="n">
        <v>6</v>
      </c>
      <c r="B8" t="n">
        <v>0.000892401614648499</v>
      </c>
      <c r="C8" t="n">
        <v>0.001907506616367071</v>
      </c>
      <c r="D8" t="n">
        <v>0.003321252790925533</v>
      </c>
      <c r="E8" t="n">
        <v>19.43840885558004</v>
      </c>
      <c r="F8" t="n">
        <v>0.0008742639082503624</v>
      </c>
      <c r="G8" t="n">
        <v>0.001748527816500723</v>
      </c>
      <c r="H8" t="n">
        <v>0.003313588613082881</v>
      </c>
    </row>
    <row r="9">
      <c r="A9" t="n">
        <v>7</v>
      </c>
      <c r="B9" t="n">
        <v>0.001104049752386441</v>
      </c>
      <c r="C9" t="n">
        <v>0.002361306158834624</v>
      </c>
      <c r="D9" t="n">
        <v>0.004173443932416452</v>
      </c>
      <c r="E9" t="n">
        <v>18.73376864358822</v>
      </c>
      <c r="F9" t="n">
        <v>0.001051076240564707</v>
      </c>
      <c r="G9" t="n">
        <v>0.002102152481129413</v>
      </c>
      <c r="H9" t="n">
        <v>0.004161123011672059</v>
      </c>
    </row>
    <row r="10">
      <c r="A10" t="n">
        <v>8</v>
      </c>
      <c r="B10" t="n">
        <v>0.0008718925849205127</v>
      </c>
      <c r="C10" t="n">
        <v>0.001851209400877592</v>
      </c>
      <c r="D10" t="n">
        <v>0.003194381600045297</v>
      </c>
      <c r="E10" t="n">
        <v>19.5603897472086</v>
      </c>
      <c r="F10" t="n">
        <v>0.0008467125702122229</v>
      </c>
      <c r="G10" t="n">
        <v>0.001693425140424445</v>
      </c>
      <c r="H10" t="n">
        <v>0.003187312199073714</v>
      </c>
    </row>
    <row r="11">
      <c r="A11" t="n">
        <v>9</v>
      </c>
      <c r="B11" t="n">
        <v>0.0009222599051956918</v>
      </c>
      <c r="C11" t="n">
        <v>0.001969808095569525</v>
      </c>
      <c r="D11" t="n">
        <v>0.003433867780734629</v>
      </c>
      <c r="E11" t="n">
        <v>19.33438889092703</v>
      </c>
      <c r="F11" t="n">
        <v>0.0008984376513446686</v>
      </c>
      <c r="G11" t="n">
        <v>0.001796875302689337</v>
      </c>
      <c r="H11" t="n">
        <v>0.003425654446146463</v>
      </c>
    </row>
    <row r="12">
      <c r="A12" t="n">
        <v>10</v>
      </c>
      <c r="B12" t="n">
        <v>0.0009308259101279264</v>
      </c>
      <c r="C12" t="n">
        <v>0.002001141047743337</v>
      </c>
      <c r="D12" t="n">
        <v>0.003516419855084127</v>
      </c>
      <c r="E12" t="n">
        <v>19.26051653396556</v>
      </c>
      <c r="F12" t="n">
        <v>0.0009159939836455717</v>
      </c>
      <c r="G12" t="n">
        <v>0.001831987967291145</v>
      </c>
      <c r="H12" t="n">
        <v>0.003507791242849972</v>
      </c>
    </row>
    <row r="13">
      <c r="A13" t="n">
        <v>11</v>
      </c>
      <c r="B13" t="n">
        <v>0.0009036010804047453</v>
      </c>
      <c r="C13" t="n">
        <v>0.001960965819757656</v>
      </c>
      <c r="D13" t="n">
        <v>0.00347535552773802</v>
      </c>
      <c r="E13" t="n">
        <v>19.29701938992458</v>
      </c>
      <c r="F13" t="n">
        <v>0.0009072779957130755</v>
      </c>
      <c r="G13" t="n">
        <v>0.00181455599142615</v>
      </c>
      <c r="H13" t="n">
        <v>0.003466934836708364</v>
      </c>
    </row>
    <row r="14">
      <c r="A14" t="n">
        <v>12</v>
      </c>
      <c r="B14" t="n">
        <v>0.0009607111285430446</v>
      </c>
      <c r="C14" t="n">
        <v>0.002040157747763619</v>
      </c>
      <c r="D14" t="n">
        <v>0.00354247931182921</v>
      </c>
      <c r="E14" t="n">
        <v>19.23759687067716</v>
      </c>
      <c r="F14" t="n">
        <v>0.0009215076895125216</v>
      </c>
      <c r="G14" t="n">
        <v>0.001843015379025045</v>
      </c>
      <c r="H14" t="n">
        <v>0.003533717367549186</v>
      </c>
    </row>
    <row r="15">
      <c r="A15" t="n">
        <v>13</v>
      </c>
      <c r="B15" t="n">
        <v>0.001090513667322067</v>
      </c>
      <c r="C15" t="n">
        <v>0.002276798573283416</v>
      </c>
      <c r="D15" t="n">
        <v>0.004194376605065906</v>
      </c>
      <c r="E15" t="n">
        <v>18.71854321057133</v>
      </c>
      <c r="F15" t="n">
        <v>0.001055251585641912</v>
      </c>
      <c r="G15" t="n">
        <v>0.002110503171283823</v>
      </c>
      <c r="H15" t="n">
        <v>0.004181926654774488</v>
      </c>
    </row>
    <row r="16">
      <c r="A16" t="n">
        <v>14</v>
      </c>
      <c r="B16" t="n">
        <v>0.001058038741575618</v>
      </c>
      <c r="C16" t="n">
        <v>0.00232065879356122</v>
      </c>
      <c r="D16" t="n">
        <v>0.004208492444976922</v>
      </c>
      <c r="E16" t="n">
        <v>18.70832401225228</v>
      </c>
      <c r="F16" t="n">
        <v>0.001058062952479374</v>
      </c>
      <c r="G16" t="n">
        <v>0.002116125904958748</v>
      </c>
      <c r="H16" t="n">
        <v>0.004195955084494668</v>
      </c>
    </row>
    <row r="17">
      <c r="A17" t="n">
        <v>15</v>
      </c>
      <c r="B17" t="n">
        <v>0.0009533816303246263</v>
      </c>
      <c r="C17" t="n">
        <v>0.00206943157560412</v>
      </c>
      <c r="D17" t="n">
        <v>0.003681690788545974</v>
      </c>
      <c r="E17" t="n">
        <v>19.11825606847016</v>
      </c>
      <c r="F17" t="n">
        <v>0.0009507360966998311</v>
      </c>
      <c r="G17" t="n">
        <v>0.001901472193399664</v>
      </c>
      <c r="H17" t="n">
        <v>0.003672198315896289</v>
      </c>
    </row>
    <row r="18">
      <c r="A18" t="n">
        <v>16</v>
      </c>
      <c r="B18" t="n">
        <v>0.0009591975097946921</v>
      </c>
      <c r="C18" t="n">
        <v>0.002066384699038676</v>
      </c>
      <c r="D18" t="n">
        <v>0.003646749472809597</v>
      </c>
      <c r="E18" t="n">
        <v>19.14773156900712</v>
      </c>
      <c r="F18" t="n">
        <v>0.0009434353973430811</v>
      </c>
      <c r="G18" t="n">
        <v>0.001886870794686163</v>
      </c>
      <c r="H18" t="n">
        <v>0.003637443254204696</v>
      </c>
    </row>
    <row r="20">
      <c r="A20" t="inlineStr">
        <is>
          <t>Median (pg/mL)</t>
        </is>
      </c>
      <c r="B20" t="n">
        <v>0.0009340909281971987</v>
      </c>
      <c r="C20" t="n">
        <v>0.002016202723614911</v>
      </c>
      <c r="D20" t="n">
        <v>0.003538441719361845</v>
      </c>
      <c r="E20" t="n">
        <v>19.24113793427183</v>
      </c>
      <c r="F20" t="n">
        <v>0.0009206541304313659</v>
      </c>
      <c r="G20" t="n">
        <v>0.001841308260862733</v>
      </c>
      <c r="H20" t="n">
        <v>0.003529700490777837</v>
      </c>
    </row>
    <row r="21">
      <c r="A21" t="inlineStr">
        <is>
          <t>Min (pg/mL)</t>
        </is>
      </c>
      <c r="B21" t="n">
        <v>0.0008718925849205127</v>
      </c>
      <c r="C21" t="n">
        <v>0.001847595718936191</v>
      </c>
      <c r="D21" t="n">
        <v>0.003194381600045297</v>
      </c>
      <c r="E21" t="n">
        <v>18.70832401225228</v>
      </c>
      <c r="F21" t="n">
        <v>0.0008467125702122229</v>
      </c>
      <c r="G21" t="n">
        <v>0.001693425140424445</v>
      </c>
      <c r="H21" t="n">
        <v>0.003187312199073714</v>
      </c>
    </row>
    <row r="22">
      <c r="A22" t="inlineStr">
        <is>
          <t>Max (pg/mL)</t>
        </is>
      </c>
      <c r="B22" t="n">
        <v>0.001104049752386441</v>
      </c>
      <c r="C22" t="n">
        <v>0.002361306158834624</v>
      </c>
      <c r="D22" t="n">
        <v>0.004208492444976922</v>
      </c>
      <c r="E22" t="n">
        <v>19.5603897472086</v>
      </c>
      <c r="F22" t="n">
        <v>0.001058062952479374</v>
      </c>
      <c r="G22" t="n">
        <v>0.002116125904958748</v>
      </c>
      <c r="H22" t="n">
        <v>0.004195955084494668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 Model Fit (nested sampling) vs R2 Model (beta-&gt;inf) — IL-6 dataset</t>
        </is>
      </c>
    </row>
    <row r="2">
      <c r="A2" t="inlineStr">
        <is>
          <t>Method: dynesty nested sampling, nlive=500, bound=multi</t>
        </is>
      </c>
    </row>
    <row r="3">
      <c r="A3" t="inlineStr">
        <is>
          <t>Physical prior: beta &gt;= 1 (each bead has at least 1 binding site)</t>
        </is>
      </c>
    </row>
    <row r="5">
      <c r="A5" t="inlineStr">
        <is>
          <t>Parameter</t>
        </is>
      </c>
      <c r="B5" t="inlineStr">
        <is>
          <t>R2 (beta-&gt;inf)</t>
        </is>
      </c>
      <c r="C5" t="inlineStr">
        <is>
          <t>R1 (beta free)</t>
        </is>
      </c>
      <c r="D5" t="inlineStr">
        <is>
          <t>R1 95% CI</t>
        </is>
      </c>
    </row>
    <row r="6">
      <c r="A6" t="inlineStr">
        <is>
          <t>kappa</t>
        </is>
      </c>
      <c r="B6" t="inlineStr">
        <is>
          <t>8.2265</t>
        </is>
      </c>
      <c r="C6" t="inlineStr">
        <is>
          <t>7.9955</t>
        </is>
      </c>
      <c r="D6" t="inlineStr">
        <is>
          <t>[7.9082, 8.0817]</t>
        </is>
      </c>
    </row>
    <row r="7">
      <c r="A7" t="inlineStr">
        <is>
          <t>beta</t>
        </is>
      </c>
      <c r="B7" t="inlineStr">
        <is>
          <t>inf (R2 approx)</t>
        </is>
      </c>
      <c r="C7" t="inlineStr">
        <is>
          <t>22.40</t>
        </is>
      </c>
      <c r="D7" t="inlineStr">
        <is>
          <t>[17.50, 31.10]</t>
        </is>
      </c>
    </row>
    <row r="8">
      <c r="A8" t="inlineStr">
        <is>
          <t>b</t>
        </is>
      </c>
      <c r="B8" t="inlineStr">
        <is>
          <t>0.003712</t>
        </is>
      </c>
      <c r="C8" t="inlineStr">
        <is>
          <t>0.003501</t>
        </is>
      </c>
      <c r="D8" t="inlineStr">
        <is>
          <t>[0.003092, 0.003932]</t>
        </is>
      </c>
    </row>
    <row r="10">
      <c r="A10" t="inlineStr">
        <is>
          <t>Model Comparison</t>
        </is>
      </c>
    </row>
    <row r="11">
      <c r="A11" t="inlineStr">
        <is>
          <t>Metric</t>
        </is>
      </c>
      <c r="B11" t="inlineStr">
        <is>
          <t>R2</t>
        </is>
      </c>
      <c r="C11" t="inlineStr">
        <is>
          <t>R1</t>
        </is>
      </c>
      <c r="D11" t="inlineStr">
        <is>
          <t>Difference / Interpretation</t>
        </is>
      </c>
    </row>
    <row r="12">
      <c r="A12" t="inlineStr">
        <is>
          <t>logL (MLE)</t>
        </is>
      </c>
      <c r="B12" t="inlineStr">
        <is>
          <t>-124824.28</t>
        </is>
      </c>
      <c r="C12" t="inlineStr">
        <is>
          <t>-124799.23</t>
        </is>
      </c>
      <c r="D12" t="inlineStr">
        <is>
          <t>25.05</t>
        </is>
      </c>
    </row>
    <row r="13">
      <c r="A13" t="inlineStr">
        <is>
          <t>n_params</t>
        </is>
      </c>
      <c r="B13" t="inlineStr">
        <is>
          <t>2</t>
        </is>
      </c>
      <c r="C13" t="inlineStr">
        <is>
          <t>3</t>
        </is>
      </c>
      <c r="D13" t="inlineStr">
        <is>
          <t>1</t>
        </is>
      </c>
    </row>
    <row r="14">
      <c r="A14" t="inlineStr">
        <is>
          <t>AICc</t>
        </is>
      </c>
      <c r="B14" t="inlineStr">
        <is>
          <t>249653.48</t>
        </is>
      </c>
      <c r="C14" t="inlineStr">
        <is>
          <t>249606.45</t>
        </is>
      </c>
      <c r="D14" t="inlineStr">
        <is>
          <t>Δ = -47.02</t>
        </is>
      </c>
    </row>
    <row r="15">
      <c r="A15" t="inlineStr">
        <is>
          <t>logZ (nested)</t>
        </is>
      </c>
      <c r="B15" t="inlineStr">
        <is>
          <t>-124839.08</t>
        </is>
      </c>
      <c r="C15" t="inlineStr">
        <is>
          <t>-124817.23</t>
        </is>
      </c>
      <c r="D15" t="inlineStr">
        <is>
          <t>logBF = 21.86 ± 0.45</t>
        </is>
      </c>
    </row>
    <row r="16">
      <c r="A16" t="inlineStr">
        <is>
          <t>Bayes factor</t>
        </is>
      </c>
      <c r="B16" t="inlineStr"/>
      <c r="C16" t="inlineStr"/>
      <c r="D16" t="inlineStr">
        <is>
          <t>R1 strongly preferred</t>
        </is>
      </c>
    </row>
    <row r="17">
      <c r="A17" t="inlineStr">
        <is>
          <t>R2_AEB</t>
        </is>
      </c>
      <c r="B17" t="inlineStr">
        <is>
          <t>0.997695</t>
        </is>
      </c>
      <c r="C17" t="inlineStr">
        <is>
          <t>0.998415</t>
        </is>
      </c>
      <c r="D17" t="inlineStr"/>
    </row>
    <row r="19">
      <c r="A19" t="inlineStr">
        <is>
          <t>Nested Sampling Diagnostics</t>
        </is>
      </c>
    </row>
    <row r="20">
      <c r="A20" t="inlineStr">
        <is>
          <t>Quantity</t>
        </is>
      </c>
      <c r="B20" t="inlineStr">
        <is>
          <t>R1</t>
        </is>
      </c>
      <c r="C20" t="inlineStr">
        <is>
          <t>R2</t>
        </is>
      </c>
    </row>
    <row r="21">
      <c r="A21" t="inlineStr">
        <is>
          <t>logZ</t>
        </is>
      </c>
      <c r="B21" t="inlineStr">
        <is>
          <t>-124817.23 ± 0.33</t>
        </is>
      </c>
      <c r="C21" t="inlineStr">
        <is>
          <t>-124839.08 ± 0.30</t>
        </is>
      </c>
    </row>
    <row r="22">
      <c r="A22" t="inlineStr">
        <is>
          <t>niter</t>
        </is>
      </c>
      <c r="B22" t="inlineStr">
        <is>
          <t>9390</t>
        </is>
      </c>
      <c r="C22" t="inlineStr">
        <is>
          <t>7829</t>
        </is>
      </c>
    </row>
    <row r="23">
      <c r="A23" t="inlineStr">
        <is>
          <t>ncall</t>
        </is>
      </c>
      <c r="B23" t="inlineStr">
        <is>
          <t>[1 1 1 ... 1 1 1]</t>
        </is>
      </c>
      <c r="C23" t="inlineStr">
        <is>
          <t>[1 1 1 ... 1 1 1]</t>
        </is>
      </c>
    </row>
    <row r="24">
      <c r="A24" t="inlineStr">
        <is>
          <t>ESS (Kish)</t>
        </is>
      </c>
      <c r="B24" t="inlineStr">
        <is>
          <t>1796</t>
        </is>
      </c>
      <c r="C24" t="inlineStr"/>
    </row>
    <row r="26">
      <c r="A26" t="inlineStr">
        <is>
          <t>Bimodality Check</t>
        </is>
      </c>
    </row>
    <row r="27">
      <c r="A27" t="inlineStr">
        <is>
          <t>Mode</t>
        </is>
      </c>
      <c r="B27" t="inlineStr">
        <is>
          <t>Fraction</t>
        </is>
      </c>
      <c r="C27" t="inlineStr">
        <is>
          <t>kappa (median [95% CI])</t>
        </is>
      </c>
      <c r="D27" t="inlineStr">
        <is>
          <t>beta (median [95% CI])</t>
        </is>
      </c>
    </row>
    <row r="28">
      <c r="A28" t="inlineStr">
        <is>
          <t>A (beta &lt; ~30)</t>
        </is>
      </c>
      <c r="B28" t="inlineStr">
        <is>
          <t>97.9%</t>
        </is>
      </c>
      <c r="C28" t="inlineStr">
        <is>
          <t>7.9940 [7.9076, 8.0753]</t>
        </is>
      </c>
      <c r="D28" t="inlineStr">
        <is>
          <t>22.32 [17.50, 29.68]</t>
        </is>
      </c>
    </row>
    <row r="29">
      <c r="A29" t="inlineStr">
        <is>
          <t>B (beta &gt;= ~30)</t>
        </is>
      </c>
      <c r="B29" t="inlineStr">
        <is>
          <t>2.1%</t>
        </is>
      </c>
      <c r="C29" t="inlineStr">
        <is>
          <t>8.0774 [8.0197, 8.1420]</t>
        </is>
      </c>
      <c r="D29" t="inlineStr">
        <is>
          <t>33.77 [31.84, 40.81]</t>
        </is>
      </c>
    </row>
    <row r="30">
      <c r="A30" t="inlineStr">
        <is>
          <t>Physical interpretation:</t>
        </is>
      </c>
      <c r="B30" t="inlineStr">
        <is>
          <t>single intermediate-valency mode (beta ~ 22, &gt;95% of posterior mass); posterior is NOT bimodal</t>
        </is>
      </c>
    </row>
    <row r="31">
      <c r="A31" t="inlineStr">
        <is>
          <t>Identifiability:</t>
        </is>
      </c>
      <c r="B31" t="inlineStr">
        <is>
          <t>beta bounded away from 1 and infinity -&gt; identifiable at this kappa; R2 approximation error &lt;1% at beta = 22</t>
        </is>
      </c>
    </row>
    <row r="32">
      <c r="A32" t="inlineStr">
        <is>
          <t>Note:</t>
        </is>
      </c>
      <c r="B32" t="inlineStr">
        <is>
          <t>identifiable beta in a calibration experiment does NOT yield calibration-free M0 for unknown samples</t>
        </is>
      </c>
    </row>
    <row r="34">
      <c r="A34" t="inlineStr">
        <is>
          <t>Derived Quantities (R1)</t>
        </is>
      </c>
    </row>
    <row r="35">
      <c r="A35" t="inlineStr">
        <is>
          <t>Omega = N*beta</t>
        </is>
      </c>
      <c r="B35" t="inlineStr">
        <is>
          <t>1.12e+07</t>
        </is>
      </c>
    </row>
    <row r="36">
      <c r="A36" t="inlineStr">
        <is>
          <t>kappa*Omega = K*V*N_A</t>
        </is>
      </c>
      <c r="B36" t="inlineStr">
        <is>
          <t>8.955e+07</t>
        </is>
      </c>
    </row>
    <row r="38">
      <c r="A38" t="inlineStr">
        <is>
          <t>Note: This is a calibration experiment (M known at each</t>
        </is>
      </c>
    </row>
    <row r="39">
      <c r="A39" t="inlineStr">
        <is>
          <t>dilution point). beta identifiability here does NOT imply</t>
        </is>
      </c>
    </row>
    <row r="40">
      <c r="A40" t="inlineStr">
        <is>
          <t>calibration-free absolute quantification. See SI S2c.5.</t>
        </is>
      </c>
    </row>
    <row r="42">
      <c r="A42" t="inlineStr">
        <is>
          <t>R1 Per-point Predictions</t>
        </is>
      </c>
    </row>
    <row r="43">
      <c r="A43" t="inlineStr">
        <is>
          <t>Conc (pg/mL)</t>
        </is>
      </c>
      <c r="B43" t="inlineStr">
        <is>
          <t>k</t>
        </is>
      </c>
      <c r="C43" t="inlineStr">
        <is>
          <t>n</t>
        </is>
      </c>
      <c r="D43" t="inlineStr">
        <is>
          <t>P_obs</t>
        </is>
      </c>
      <c r="E43" t="inlineStr">
        <is>
          <t>P_R2</t>
        </is>
      </c>
      <c r="F43" t="inlineStr">
        <is>
          <t>P_R1</t>
        </is>
      </c>
      <c r="G43" t="inlineStr">
        <is>
          <t>AEB_R2</t>
        </is>
      </c>
      <c r="H43" t="inlineStr">
        <is>
          <t>AEB_R1</t>
        </is>
      </c>
    </row>
    <row r="44">
      <c r="A44" t="inlineStr">
        <is>
          <t>0.0000</t>
        </is>
      </c>
      <c r="B44" t="inlineStr">
        <is>
          <t>85.6</t>
        </is>
      </c>
      <c r="C44" t="inlineStr">
        <is>
          <t>29568</t>
        </is>
      </c>
      <c r="D44" t="inlineStr">
        <is>
          <t>0.002896</t>
        </is>
      </c>
      <c r="E44" t="inlineStr">
        <is>
          <t>0.003712</t>
        </is>
      </c>
      <c r="F44" t="inlineStr">
        <is>
          <t>0.003486</t>
        </is>
      </c>
      <c r="G44" t="inlineStr">
        <is>
          <t>0.0037</t>
        </is>
      </c>
      <c r="H44" t="inlineStr">
        <is>
          <t>0.0035</t>
        </is>
      </c>
    </row>
    <row r="45">
      <c r="A45" t="inlineStr">
        <is>
          <t>0.0000</t>
        </is>
      </c>
      <c r="B45" t="inlineStr">
        <is>
          <t>123.8</t>
        </is>
      </c>
      <c r="C45" t="inlineStr">
        <is>
          <t>33529</t>
        </is>
      </c>
      <c r="D45" t="inlineStr">
        <is>
          <t>0.003693</t>
        </is>
      </c>
      <c r="E45" t="inlineStr">
        <is>
          <t>0.003712</t>
        </is>
      </c>
      <c r="F45" t="inlineStr">
        <is>
          <t>0.003486</t>
        </is>
      </c>
      <c r="G45" t="inlineStr">
        <is>
          <t>0.0037</t>
        </is>
      </c>
      <c r="H45" t="inlineStr">
        <is>
          <t>0.0035</t>
        </is>
      </c>
    </row>
    <row r="46">
      <c r="A46" t="inlineStr">
        <is>
          <t>0.0328</t>
        </is>
      </c>
      <c r="B46" t="inlineStr">
        <is>
          <t>783.3</t>
        </is>
      </c>
      <c r="C46" t="inlineStr">
        <is>
          <t>31110</t>
        </is>
      </c>
      <c r="D46" t="inlineStr">
        <is>
          <t>0.025178</t>
        </is>
      </c>
      <c r="E46" t="inlineStr">
        <is>
          <t>0.024011</t>
        </is>
      </c>
      <c r="F46" t="inlineStr">
        <is>
          <t>0.024313</t>
        </is>
      </c>
      <c r="G46" t="inlineStr">
        <is>
          <t>0.0243</t>
        </is>
      </c>
      <c r="H46" t="inlineStr">
        <is>
          <t>0.0246</t>
        </is>
      </c>
    </row>
    <row r="47">
      <c r="A47" t="inlineStr">
        <is>
          <t>0.0328</t>
        </is>
      </c>
      <c r="B47" t="inlineStr">
        <is>
          <t>800.1</t>
        </is>
      </c>
      <c r="C47" t="inlineStr">
        <is>
          <t>30257</t>
        </is>
      </c>
      <c r="D47" t="inlineStr">
        <is>
          <t>0.026444</t>
        </is>
      </c>
      <c r="E47" t="inlineStr">
        <is>
          <t>0.024011</t>
        </is>
      </c>
      <c r="F47" t="inlineStr">
        <is>
          <t>0.024313</t>
        </is>
      </c>
      <c r="G47" t="inlineStr">
        <is>
          <t>0.0243</t>
        </is>
      </c>
      <c r="H47" t="inlineStr">
        <is>
          <t>0.0246</t>
        </is>
      </c>
    </row>
    <row r="48">
      <c r="A48" t="inlineStr">
        <is>
          <t>0.0984</t>
        </is>
      </c>
      <c r="B48" t="inlineStr">
        <is>
          <t>1730.7</t>
        </is>
      </c>
      <c r="C48" t="inlineStr">
        <is>
          <t>27297</t>
        </is>
      </c>
      <c r="D48" t="inlineStr">
        <is>
          <t>0.063401</t>
        </is>
      </c>
      <c r="E48" t="inlineStr">
        <is>
          <t>0.063376</t>
        </is>
      </c>
      <c r="F48" t="inlineStr">
        <is>
          <t>0.064627</t>
        </is>
      </c>
      <c r="G48" t="inlineStr">
        <is>
          <t>0.0655</t>
        </is>
      </c>
      <c r="H48" t="inlineStr">
        <is>
          <t>0.0668</t>
        </is>
      </c>
    </row>
    <row r="49">
      <c r="A49" t="inlineStr">
        <is>
          <t>0.0984</t>
        </is>
      </c>
      <c r="B49" t="inlineStr">
        <is>
          <t>2223.6</t>
        </is>
      </c>
      <c r="C49" t="inlineStr">
        <is>
          <t>33491</t>
        </is>
      </c>
      <c r="D49" t="inlineStr">
        <is>
          <t>0.066393</t>
        </is>
      </c>
      <c r="E49" t="inlineStr">
        <is>
          <t>0.063376</t>
        </is>
      </c>
      <c r="F49" t="inlineStr">
        <is>
          <t>0.064627</t>
        </is>
      </c>
      <c r="G49" t="inlineStr">
        <is>
          <t>0.0655</t>
        </is>
      </c>
      <c r="H49" t="inlineStr">
        <is>
          <t>0.0668</t>
        </is>
      </c>
    </row>
    <row r="50">
      <c r="A50" t="inlineStr">
        <is>
          <t>0.2960</t>
        </is>
      </c>
      <c r="B50" t="inlineStr">
        <is>
          <t>3830.5</t>
        </is>
      </c>
      <c r="C50" t="inlineStr">
        <is>
          <t>23171</t>
        </is>
      </c>
      <c r="D50" t="inlineStr">
        <is>
          <t>0.165314</t>
        </is>
      </c>
      <c r="E50" t="inlineStr">
        <is>
          <t>0.172613</t>
        </is>
      </c>
      <c r="F50" t="inlineStr">
        <is>
          <t>0.175957</t>
        </is>
      </c>
      <c r="G50" t="inlineStr">
        <is>
          <t>0.1895</t>
        </is>
      </c>
      <c r="H50" t="inlineStr">
        <is>
          <t>0.1935</t>
        </is>
      </c>
    </row>
    <row r="51">
      <c r="A51" t="inlineStr">
        <is>
          <t>0.2960</t>
        </is>
      </c>
      <c r="B51" t="inlineStr">
        <is>
          <t>6384.6</t>
        </is>
      </c>
      <c r="C51" t="inlineStr">
        <is>
          <t>35706</t>
        </is>
      </c>
      <c r="D51" t="inlineStr">
        <is>
          <t>0.178809</t>
        </is>
      </c>
      <c r="E51" t="inlineStr">
        <is>
          <t>0.172613</t>
        </is>
      </c>
      <c r="F51" t="inlineStr">
        <is>
          <t>0.175957</t>
        </is>
      </c>
      <c r="G51" t="inlineStr">
        <is>
          <t>0.1895</t>
        </is>
      </c>
      <c r="H51" t="inlineStr">
        <is>
          <t>0.1935</t>
        </is>
      </c>
    </row>
    <row r="52">
      <c r="A52" t="inlineStr">
        <is>
          <t>0.8880</t>
        </is>
      </c>
      <c r="B52" t="inlineStr">
        <is>
          <t>13280.3</t>
        </is>
      </c>
      <c r="C52" t="inlineStr">
        <is>
          <t>31713</t>
        </is>
      </c>
      <c r="D52" t="inlineStr">
        <is>
          <t>0.418765</t>
        </is>
      </c>
      <c r="E52" t="inlineStr">
        <is>
          <t>0.429368</t>
        </is>
      </c>
      <c r="F52" t="inlineStr">
        <is>
          <t>0.434357</t>
        </is>
      </c>
      <c r="G52" t="inlineStr">
        <is>
          <t>0.5610</t>
        </is>
      </c>
      <c r="H52" t="inlineStr">
        <is>
          <t>0.5698</t>
        </is>
      </c>
    </row>
    <row r="53">
      <c r="A53" t="inlineStr">
        <is>
          <t>0.8880</t>
        </is>
      </c>
      <c r="B53" t="inlineStr">
        <is>
          <t>13471.4</t>
        </is>
      </c>
      <c r="C53" t="inlineStr">
        <is>
          <t>30509</t>
        </is>
      </c>
      <c r="D53" t="inlineStr">
        <is>
          <t>0.441555</t>
        </is>
      </c>
      <c r="E53" t="inlineStr">
        <is>
          <t>0.429368</t>
        </is>
      </c>
      <c r="F53" t="inlineStr">
        <is>
          <t>0.434357</t>
        </is>
      </c>
      <c r="G53" t="inlineStr">
        <is>
          <t>0.5610</t>
        </is>
      </c>
      <c r="H53" t="inlineStr">
        <is>
          <t>0.5698</t>
        </is>
      </c>
    </row>
    <row r="54">
      <c r="A54" t="inlineStr">
        <is>
          <t>2.6640</t>
        </is>
      </c>
      <c r="B54" t="inlineStr">
        <is>
          <t>25090.3</t>
        </is>
      </c>
      <c r="C54" t="inlineStr">
        <is>
          <t>31098</t>
        </is>
      </c>
      <c r="D54" t="inlineStr">
        <is>
          <t>0.806814</t>
        </is>
      </c>
      <c r="E54" t="inlineStr">
        <is>
          <t>0.812803</t>
        </is>
      </c>
      <c r="F54" t="inlineStr">
        <is>
          <t>0.811536</t>
        </is>
      </c>
      <c r="G54" t="inlineStr">
        <is>
          <t>1.6756</t>
        </is>
      </c>
      <c r="H54" t="inlineStr">
        <is>
          <t>1.6688</t>
        </is>
      </c>
    </row>
    <row r="55">
      <c r="A55" t="inlineStr">
        <is>
          <t>2.6640</t>
        </is>
      </c>
      <c r="B55" t="inlineStr">
        <is>
          <t>24884.5</t>
        </is>
      </c>
      <c r="C55" t="inlineStr">
        <is>
          <t>30145</t>
        </is>
      </c>
      <c r="D55" t="inlineStr">
        <is>
          <t>0.825495</t>
        </is>
      </c>
      <c r="E55" t="inlineStr">
        <is>
          <t>0.812803</t>
        </is>
      </c>
      <c r="F55" t="inlineStr">
        <is>
          <t>0.811536</t>
        </is>
      </c>
      <c r="G55" t="inlineStr">
        <is>
          <t>1.6756</t>
        </is>
      </c>
      <c r="H55" t="inlineStr">
        <is>
          <t>1.6688</t>
        </is>
      </c>
    </row>
    <row r="56">
      <c r="A56" t="inlineStr">
        <is>
          <t>8.0000</t>
        </is>
      </c>
      <c r="B56" t="inlineStr">
        <is>
          <t>22722.5</t>
        </is>
      </c>
      <c r="C56" t="inlineStr">
        <is>
          <t>22988</t>
        </is>
      </c>
      <c r="D56" t="inlineStr">
        <is>
          <t>0.988450</t>
        </is>
      </c>
      <c r="E56" t="inlineStr">
        <is>
          <t>0.993424</t>
        </is>
      </c>
      <c r="F56" t="inlineStr">
        <is>
          <t>0.991120</t>
        </is>
      </c>
      <c r="G56" t="inlineStr">
        <is>
          <t>5.0244</t>
        </is>
      </c>
      <c r="H56" t="inlineStr">
        <is>
          <t>4.7240</t>
        </is>
      </c>
    </row>
    <row r="57">
      <c r="A57" t="inlineStr">
        <is>
          <t>8.0000</t>
        </is>
      </c>
      <c r="B57" t="inlineStr">
        <is>
          <t>22692.0</t>
        </is>
      </c>
      <c r="C57" t="inlineStr">
        <is>
          <t>22866</t>
        </is>
      </c>
      <c r="D57" t="inlineStr">
        <is>
          <t>0.992392</t>
        </is>
      </c>
      <c r="E57" t="inlineStr">
        <is>
          <t>0.993424</t>
        </is>
      </c>
      <c r="F57" t="inlineStr">
        <is>
          <t>0.991120</t>
        </is>
      </c>
      <c r="G57" t="inlineStr">
        <is>
          <t>5.0244</t>
        </is>
      </c>
      <c r="H57" t="inlineStr">
        <is>
          <t>4.7240</t>
        </is>
      </c>
    </row>
    <row r="58">
      <c r="A58" t="inlineStr">
        <is>
          <t>24.0000</t>
        </is>
      </c>
      <c r="B58" t="inlineStr">
        <is>
          <t>28320.0</t>
        </is>
      </c>
      <c r="C58" t="inlineStr">
        <is>
          <t>28320</t>
        </is>
      </c>
      <c r="D58" t="inlineStr">
        <is>
          <t>0.999998</t>
        </is>
      </c>
      <c r="E58" t="inlineStr">
        <is>
          <t>1.000000</t>
        </is>
      </c>
      <c r="F58" t="inlineStr">
        <is>
          <t>0.999995</t>
        </is>
      </c>
      <c r="G58" t="inlineStr">
        <is>
          <t>15.0657</t>
        </is>
      </c>
      <c r="H58" t="inlineStr">
        <is>
          <t>12.1502</t>
        </is>
      </c>
    </row>
    <row r="59">
      <c r="A59" t="inlineStr">
        <is>
          <t>24.0000</t>
        </is>
      </c>
      <c r="B59" t="inlineStr">
        <is>
          <t>28759.9</t>
        </is>
      </c>
      <c r="C59" t="inlineStr">
        <is>
          <t>28760</t>
        </is>
      </c>
      <c r="D59" t="inlineStr">
        <is>
          <t>0.999996</t>
        </is>
      </c>
      <c r="E59" t="inlineStr">
        <is>
          <t>1.000000</t>
        </is>
      </c>
      <c r="F59" t="inlineStr">
        <is>
          <t>0.999995</t>
        </is>
      </c>
      <c r="G59" t="inlineStr">
        <is>
          <t>15.0657</t>
        </is>
      </c>
      <c r="H59" t="inlineStr">
        <is>
          <t>12.1502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2026-08-26T01:20:58Z</dcterms:created>
  <dcterms:modified xmlns:dcterms="http://purl.org/dc/terms/" xmlns:xsi="http://www.w3.org/2001/XMLSchema-instance" xsi:type="dcterms:W3CDTF">2026-08-26T01:21:15Z</dcterms:modified>
</cp:coreProperties>
</file>